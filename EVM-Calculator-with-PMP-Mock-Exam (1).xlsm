
<file path=[Content_Types].xml><?xml version="1.0" encoding="utf-8"?>
<Types xmlns="http://schemas.openxmlformats.org/package/2006/content-types">
  <Default Extension="bin" ContentType="application/vnd.ms-office.activeX"/>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drawings/drawing2.xml" ContentType="application/vnd.openxmlformats-officedocument.drawing+xml"/>
  <Override PartName="/xl/activeX/activeX5.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activeX/activeX6.xml" ContentType="application/vnd.ms-office.activeX+xml"/>
  <Override PartName="/xl/drawings/drawing4.xml" ContentType="application/vnd.openxmlformats-officedocument.drawing+xml"/>
  <Override PartName="/xl/activeX/activeX7.xml" ContentType="application/vnd.ms-office.activeX+xml"/>
  <Override PartName="/xl/printerSettings/printerSettings2.bin" ContentType="application/vnd.openxmlformats-officedocument.spreadsheetml.printerSettings"/>
  <Override PartName="/xl/drawings/drawing5.xml" ContentType="application/vnd.openxmlformats-officedocument.drawing+xml"/>
  <Override PartName="/xl/ctrlProps/ctrlProp1.xml" ContentType="application/vnd.ms-excel.controlproperties+xml"/>
  <Override PartName="/xl/printerSettings/printerSettings3.bin" ContentType="application/vnd.openxmlformats-officedocument.spreadsheetml.printerSettings"/>
  <Override PartName="/xl/drawings/drawing6.xml" ContentType="application/vnd.openxmlformats-officedocument.drawing+xml"/>
  <Override PartName="/xl/activeX/activeX8.xml" ContentType="application/vnd.ms-office.activeX+xml"/>
  <Override PartName="/xl/activeX/activeX9.xml" ContentType="application/vnd.ms-office.activeX+xml"/>
  <Override PartName="/xl/activeX/activeX10.xml" ContentType="application/vnd.ms-office.activeX+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rinterSettings/printerSettings4.bin" ContentType="application/vnd.openxmlformats-officedocument.spreadsheetml.printerSettings"/>
  <Override PartName="/xl/drawings/drawing7.xml" ContentType="application/vnd.openxmlformats-officedocument.drawing+xml"/>
  <Override PartName="/xl/activeX/activeX11.xml" ContentType="application/vnd.ms-office.activeX+xml"/>
  <Override PartName="/xl/activeX/activeX12.xml" ContentType="application/vnd.ms-office.activeX+xml"/>
  <Override PartName="/xl/activeX/activeX13.xml" ContentType="application/vnd.ms-office.activeX+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printerSettings/printerSettings5.bin" ContentType="application/vnd.openxmlformats-officedocument.spreadsheetml.printerSettings"/>
  <Override PartName="/xl/drawings/drawing8.xml" ContentType="application/vnd.openxmlformats-officedocument.drawing+xml"/>
  <Override PartName="/xl/activeX/activeX14.xml" ContentType="application/vnd.ms-office.activeX+xml"/>
  <Override PartName="/xl/activeX/activeX15.xml" ContentType="application/vnd.ms-office.activeX+xml"/>
  <Override PartName="/xl/activeX/activeX16.xml" ContentType="application/vnd.ms-office.activeX+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printerSettings/printerSettings6.bin" ContentType="application/vnd.openxmlformats-officedocument.spreadsheetml.printerSettings"/>
  <Override PartName="/xl/drawings/drawing9.xml" ContentType="application/vnd.openxmlformats-officedocument.drawing+xml"/>
  <Override PartName="/xl/activeX/activeX17.xml" ContentType="application/vnd.ms-office.activeX+xml"/>
  <Override PartName="/xl/activeX/activeX18.xml" ContentType="application/vnd.ms-office.activeX+xml"/>
  <Override PartName="/xl/activeX/activeX19.xml" ContentType="application/vnd.ms-office.activeX+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printerSettings/printerSettings7.bin" ContentType="application/vnd.openxmlformats-officedocument.spreadsheetml.printerSettings"/>
  <Override PartName="/xl/drawings/drawing10.xml" ContentType="application/vnd.openxmlformats-officedocument.drawing+xml"/>
  <Override PartName="/xl/activeX/activeX20.xml" ContentType="application/vnd.ms-office.activeX+xml"/>
  <Override PartName="/xl/activeX/activeX21.xml" ContentType="application/vnd.ms-office.activeX+xml"/>
  <Override PartName="/xl/activeX/activeX22.xml" ContentType="application/vnd.ms-office.activeX+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printerSettings/printerSettings8.bin" ContentType="application/vnd.openxmlformats-officedocument.spreadsheetml.printerSettings"/>
  <Override PartName="/xl/drawings/drawing11.xml" ContentType="application/vnd.openxmlformats-officedocument.drawing+xml"/>
  <Override PartName="/xl/activeX/activeX23.xml" ContentType="application/vnd.ms-office.activeX+xml"/>
  <Override PartName="/xl/activeX/activeX24.xml" ContentType="application/vnd.ms-office.activeX+xml"/>
  <Override PartName="/xl/activeX/activeX25.xml" ContentType="application/vnd.ms-office.activeX+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printerSettings/printerSettings9.bin" ContentType="application/vnd.openxmlformats-officedocument.spreadsheetml.printerSettings"/>
  <Override PartName="/xl/drawings/drawing12.xml" ContentType="application/vnd.openxmlformats-officedocument.drawing+xml"/>
  <Override PartName="/xl/activeX/activeX26.xml" ContentType="application/vnd.ms-office.activeX+xml"/>
  <Override PartName="/xl/activeX/activeX27.xml" ContentType="application/vnd.ms-office.activeX+xml"/>
  <Override PartName="/xl/activeX/activeX28.xml" ContentType="application/vnd.ms-office.activeX+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printerSettings/printerSettings10.bin" ContentType="application/vnd.openxmlformats-officedocument.spreadsheetml.printerSettings"/>
  <Override PartName="/xl/drawings/drawing13.xml" ContentType="application/vnd.openxmlformats-officedocument.drawing+xml"/>
  <Override PartName="/xl/activeX/activeX29.xml" ContentType="application/vnd.ms-office.activeX+xml"/>
  <Override PartName="/xl/activeX/activeX30.xml" ContentType="application/vnd.ms-office.activeX+xml"/>
  <Override PartName="/xl/activeX/activeX31.xml" ContentType="application/vnd.ms-office.activeX+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printerSettings/printerSettings11.bin" ContentType="application/vnd.openxmlformats-officedocument.spreadsheetml.printerSettings"/>
  <Override PartName="/xl/drawings/drawing14.xml" ContentType="application/vnd.openxmlformats-officedocument.drawing+xml"/>
  <Override PartName="/xl/activeX/activeX32.xml" ContentType="application/vnd.ms-office.activeX+xml"/>
  <Override PartName="/xl/activeX/activeX33.xml" ContentType="application/vnd.ms-office.activeX+xml"/>
  <Override PartName="/xl/activeX/activeX34.xml" ContentType="application/vnd.ms-office.activeX+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printerSettings/printerSettings12.bin" ContentType="application/vnd.openxmlformats-officedocument.spreadsheetml.printerSettings"/>
  <Override PartName="/xl/drawings/drawing15.xml" ContentType="application/vnd.openxmlformats-officedocument.drawing+xml"/>
  <Override PartName="/xl/activeX/activeX35.xml" ContentType="application/vnd.ms-office.activeX+xml"/>
  <Override PartName="/xl/activeX/activeX36.xml" ContentType="application/vnd.ms-office.activeX+xml"/>
  <Override PartName="/xl/activeX/activeX37.xml" ContentType="application/vnd.ms-office.activeX+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v-jakodw\Desktop\Study\EVM\"/>
    </mc:Choice>
  </mc:AlternateContent>
  <xr:revisionPtr revIDLastSave="0" documentId="13_ncr:1_{4832B408-F04A-43BD-9BB4-4DB21EFD9501}" xr6:coauthVersionLast="32" xr6:coauthVersionMax="32" xr10:uidLastSave="{00000000-0000-0000-0000-000000000000}"/>
  <bookViews>
    <workbookView xWindow="0" yWindow="0" windowWidth="20490" windowHeight="7545" tabRatio="865" xr2:uid="{B9387FC1-646F-4598-B37B-4C8406561F49}"/>
  </bookViews>
  <sheets>
    <sheet name="Home" sheetId="146" r:id="rId1"/>
    <sheet name="Definition" sheetId="205" r:id="rId2"/>
    <sheet name="EVM_Calculator" sheetId="203" r:id="rId3"/>
    <sheet name="Answer Key" sheetId="1" state="veryHidden" r:id="rId4"/>
    <sheet name="Progress Status" sheetId="73" state="veryHidden" r:id="rId5"/>
    <sheet name="Question_Template" sheetId="21" state="veryHidden" r:id="rId6"/>
    <sheet name="Question 1" sheetId="208" state="veryHidden" r:id="rId7"/>
    <sheet name="Question 2" sheetId="209" state="veryHidden" r:id="rId8"/>
    <sheet name="Question 3" sheetId="210" state="veryHidden" r:id="rId9"/>
    <sheet name="Question 4" sheetId="211" state="veryHidden" r:id="rId10"/>
    <sheet name="Question 5" sheetId="212" state="veryHidden" r:id="rId11"/>
    <sheet name="Question 6" sheetId="213" state="veryHidden" r:id="rId12"/>
    <sheet name="Question 7" sheetId="214" state="veryHidden" r:id="rId13"/>
    <sheet name="Question 8" sheetId="215" state="veryHidden" r:id="rId14"/>
    <sheet name="Question 9" sheetId="216" state="veryHidden" r:id="rId15"/>
    <sheet name="Question 10" sheetId="217" state="veryHidden" r:id="rId16"/>
  </sheets>
  <functionGroups builtInGroupCount="19"/>
  <externalReferences>
    <externalReference r:id="rId17"/>
  </externalReferences>
  <definedNames>
    <definedName name="city" localSheetId="6">#REF!</definedName>
    <definedName name="city" localSheetId="15">#REF!</definedName>
    <definedName name="city" localSheetId="7">#REF!</definedName>
    <definedName name="city" localSheetId="8">#REF!</definedName>
    <definedName name="city" localSheetId="9">#REF!</definedName>
    <definedName name="city" localSheetId="10">#REF!</definedName>
    <definedName name="city" localSheetId="11">#REF!</definedName>
    <definedName name="city" localSheetId="12">#REF!</definedName>
    <definedName name="city" localSheetId="13">#REF!</definedName>
    <definedName name="city" localSheetId="14">#REF!</definedName>
    <definedName name="city">#REF!</definedName>
    <definedName name="CITY2" localSheetId="6">#REF!</definedName>
    <definedName name="CITY2" localSheetId="15">#REF!</definedName>
    <definedName name="CITY2" localSheetId="7">#REF!</definedName>
    <definedName name="CITY2" localSheetId="8">#REF!</definedName>
    <definedName name="CITY2" localSheetId="9">#REF!</definedName>
    <definedName name="CITY2" localSheetId="10">#REF!</definedName>
    <definedName name="CITY2" localSheetId="11">#REF!</definedName>
    <definedName name="CITY2" localSheetId="12">#REF!</definedName>
    <definedName name="CITY2" localSheetId="13">#REF!</definedName>
    <definedName name="CITY2" localSheetId="14">#REF!</definedName>
    <definedName name="CITY2">#REF!</definedName>
    <definedName name="Mapping" localSheetId="6">#REF!</definedName>
    <definedName name="Mapping" localSheetId="15">#REF!</definedName>
    <definedName name="Mapping" localSheetId="7">#REF!</definedName>
    <definedName name="Mapping" localSheetId="8">#REF!</definedName>
    <definedName name="Mapping" localSheetId="9">#REF!</definedName>
    <definedName name="Mapping" localSheetId="10">#REF!</definedName>
    <definedName name="Mapping" localSheetId="11">#REF!</definedName>
    <definedName name="Mapping" localSheetId="12">#REF!</definedName>
    <definedName name="Mapping" localSheetId="13">#REF!</definedName>
    <definedName name="Mapping" localSheetId="14">#REF!</definedName>
    <definedName name="Mapping">#REF!</definedName>
    <definedName name="pin" localSheetId="6">#REF!</definedName>
    <definedName name="pin" localSheetId="15">#REF!</definedName>
    <definedName name="pin" localSheetId="7">#REF!</definedName>
    <definedName name="pin" localSheetId="8">#REF!</definedName>
    <definedName name="pin" localSheetId="9">#REF!</definedName>
    <definedName name="pin" localSheetId="10">#REF!</definedName>
    <definedName name="pin" localSheetId="11">#REF!</definedName>
    <definedName name="pin" localSheetId="12">#REF!</definedName>
    <definedName name="pin" localSheetId="13">#REF!</definedName>
    <definedName name="pin" localSheetId="14">#REF!</definedName>
    <definedName name="pin">#REF!</definedName>
    <definedName name="Taska" localSheetId="6">#REF!</definedName>
    <definedName name="Taska" localSheetId="15">#REF!</definedName>
    <definedName name="Taska" localSheetId="7">#REF!</definedName>
    <definedName name="Taska" localSheetId="8">#REF!</definedName>
    <definedName name="Taska" localSheetId="9">#REF!</definedName>
    <definedName name="Taska" localSheetId="10">#REF!</definedName>
    <definedName name="Taska" localSheetId="11">#REF!</definedName>
    <definedName name="Taska" localSheetId="12">#REF!</definedName>
    <definedName name="Taska" localSheetId="13">#REF!</definedName>
    <definedName name="Taska" localSheetId="14">#REF!</definedName>
    <definedName name="Taska">#REF!</definedName>
    <definedName name="Tasks" localSheetId="6">#REF!</definedName>
    <definedName name="Tasks" localSheetId="15">#REF!</definedName>
    <definedName name="Tasks" localSheetId="7">#REF!</definedName>
    <definedName name="Tasks" localSheetId="8">#REF!</definedName>
    <definedName name="Tasks" localSheetId="9">#REF!</definedName>
    <definedName name="Tasks" localSheetId="10">#REF!</definedName>
    <definedName name="Tasks" localSheetId="11">#REF!</definedName>
    <definedName name="Tasks" localSheetId="12">#REF!</definedName>
    <definedName name="Tasks" localSheetId="13">#REF!</definedName>
    <definedName name="Tasks" localSheetId="14">#REF!</definedName>
    <definedName name="Tasks">#REF!</definedName>
    <definedName name="txt_path" localSheetId="6">'[1]Create Email Table'!#REF!</definedName>
    <definedName name="txt_path" localSheetId="15">'[1]Create Email Table'!#REF!</definedName>
    <definedName name="txt_path" localSheetId="7">'[1]Create Email Table'!#REF!</definedName>
    <definedName name="txt_path" localSheetId="8">'[1]Create Email Table'!#REF!</definedName>
    <definedName name="txt_path" localSheetId="9">'[1]Create Email Table'!#REF!</definedName>
    <definedName name="txt_path" localSheetId="10">'[1]Create Email Table'!#REF!</definedName>
    <definedName name="txt_path" localSheetId="11">'[1]Create Email Table'!#REF!</definedName>
    <definedName name="txt_path" localSheetId="12">'[1]Create Email Table'!#REF!</definedName>
    <definedName name="txt_path" localSheetId="13">'[1]Create Email Table'!#REF!</definedName>
    <definedName name="txt_path" localSheetId="14">'[1]Create Email Table'!#REF!</definedName>
    <definedName name="txt_path">'[1]Create Email Table'!#REF!</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6" i="217" l="1"/>
  <c r="J6" i="216"/>
  <c r="J6" i="215"/>
  <c r="J6" i="214"/>
  <c r="J6" i="213"/>
  <c r="J6" i="212"/>
  <c r="J6" i="211"/>
  <c r="J6" i="210"/>
  <c r="J6" i="209"/>
  <c r="J6" i="208"/>
  <c r="R4" i="73"/>
  <c r="R3" i="73"/>
  <c r="R2" i="73"/>
  <c r="G101" i="1" l="1"/>
  <c r="F101" i="1"/>
  <c r="H101" i="1" l="1"/>
  <c r="D25" i="203"/>
  <c r="D24" i="203"/>
  <c r="G91" i="1" l="1"/>
  <c r="G81" i="1"/>
  <c r="G71" i="1"/>
  <c r="G61" i="1"/>
  <c r="G41" i="1"/>
  <c r="G51" i="1"/>
  <c r="E18" i="203"/>
  <c r="E10" i="203"/>
  <c r="E8" i="203"/>
  <c r="E12" i="203" s="1"/>
  <c r="E7" i="203"/>
  <c r="E13" i="203" s="1"/>
  <c r="E20" i="203" l="1"/>
  <c r="E19" i="203"/>
  <c r="E11" i="203"/>
  <c r="E9" i="203"/>
  <c r="E14" i="203" l="1"/>
  <c r="E16" i="203"/>
  <c r="E21" i="203" s="1"/>
  <c r="E22" i="203" s="1"/>
  <c r="E15" i="203"/>
  <c r="F16" i="203" l="1"/>
  <c r="E17" i="203"/>
  <c r="G31" i="1" l="1"/>
  <c r="G21" i="1"/>
  <c r="G11" i="1"/>
  <c r="F61" i="1"/>
  <c r="F21" i="1"/>
  <c r="F91" i="1"/>
  <c r="F11" i="1"/>
  <c r="F41" i="1"/>
  <c r="F51" i="1"/>
  <c r="F31" i="1"/>
  <c r="F71" i="1"/>
  <c r="F81" i="1"/>
  <c r="H91" i="1" l="1"/>
  <c r="H81" i="1"/>
  <c r="H71" i="1"/>
  <c r="H61" i="1"/>
  <c r="H41" i="1"/>
  <c r="H51" i="1"/>
  <c r="H31" i="1"/>
  <c r="H21" i="1"/>
  <c r="H11" i="1"/>
  <c r="D3" i="73"/>
  <c r="J11" i="1" l="1"/>
  <c r="K11" i="1"/>
  <c r="J6" i="21"/>
  <c r="C7" i="1" l="1"/>
  <c r="C3" i="73"/>
  <c r="E3" i="73" s="1"/>
  <c r="F3" i="73" s="1"/>
  <c r="G3" i="73" s="1"/>
  <c r="H3" i="73" s="1"/>
  <c r="I3" i="73" s="1"/>
  <c r="J3" i="73" s="1"/>
  <c r="K3" i="73" s="1"/>
</calcChain>
</file>

<file path=xl/sharedStrings.xml><?xml version="1.0" encoding="utf-8"?>
<sst xmlns="http://schemas.openxmlformats.org/spreadsheetml/2006/main" count="334" uniqueCount="153">
  <si>
    <t>Your Project has a CPI of 0.59. Which statement is True?</t>
  </si>
  <si>
    <t>A</t>
  </si>
  <si>
    <t>The Project is earning only USD 0.59 for every dollar spent</t>
  </si>
  <si>
    <t>B</t>
  </si>
  <si>
    <t>The project is over budget by 59%</t>
  </si>
  <si>
    <t>C</t>
  </si>
  <si>
    <t>The project cost 59% of the initial budget planning</t>
  </si>
  <si>
    <t>D</t>
  </si>
  <si>
    <t>The project is progressing at 59% of the rate originally planned</t>
  </si>
  <si>
    <t>Project manager is working on a project which has Budget at Completion (BAC) of USD 850,000 and its duration is 24 months. As on date the project is 35% complete whereas it was supposed to be 40% complete at present. PM has also reported that USD 425,000 has already been spent on the project. His Project sponsor has asked for the budgeted value for the project work actually completed by this point of time. Which statement is True?</t>
  </si>
  <si>
    <t>Project manager is working on a project which has Budget at Completion (BAC) of USD 850,000 and its duration is 24 months. As on date the project is 35% complete whereas it was supposed to be 40% complete at present. PM has also reported that USD 425,000 has already been spent on the project. His Project sponsor has asked how much more money would be needed  to complete the objectives? Which statement is True?</t>
  </si>
  <si>
    <t>Project manager is working on a project which has Budget at Completion (BAC) of USD 850,000 and its duration is 24 months. As on date the project is 35% complete whereas it was supposed to be 40% complete at present. PM has also reported that USD 425,000 has already been spent on the project. His Project sponsor wants to know the likelihood of the project being able to meet the estimate at completion? Which statement is True?</t>
  </si>
  <si>
    <t>Project manager is working on a project which has Budget at Completion (BAC) of USD 850,000 and its duration is 24 months. As on date the project is 35% complete whereas it was supposed to be 40% complete at present. PM has also reported that USD 425,000 has already been spent on the project. The schedule variance for the project is USD (-)42,500. Which statement is True?</t>
  </si>
  <si>
    <t>Negative schedule variance implies that the project is behind schedule, Hence option D is the correct answer</t>
  </si>
  <si>
    <t>The project is under budget</t>
  </si>
  <si>
    <t>The project is on budget</t>
  </si>
  <si>
    <t>The project is ahead of schedule</t>
  </si>
  <si>
    <t>The project is behind the schedule</t>
  </si>
  <si>
    <t>You are working on a project where the SPI is 0.875 and the planned value is USD 3,40,000. What is the schedule variance?</t>
  </si>
  <si>
    <t>USD -1,27,500</t>
  </si>
  <si>
    <t>USD  1,27,500</t>
  </si>
  <si>
    <t>USD - 42,500</t>
  </si>
  <si>
    <t>USD  42,500</t>
  </si>
  <si>
    <t>You are working on a project where SV is USD -42,500, and the actual cost is USD 4,25,000 and the planned value PV is USD 3,40,000. What is the Cost variance?</t>
  </si>
  <si>
    <t>End of Ques</t>
  </si>
  <si>
    <t>Sponsor has asked for the Planned value which is USD 3,40,000</t>
  </si>
  <si>
    <t>Sponsor has asked for the Earned value which is USD 3,40,000</t>
  </si>
  <si>
    <t>Sponsor has asked for the Earned value which is USD 2,97,500</t>
  </si>
  <si>
    <t>Sponsor has asked for the Planned value which is USD 2,95,700</t>
  </si>
  <si>
    <t>Sponsor has asked for the Estimate at Completion (EAC) which is USD 12,14,286</t>
  </si>
  <si>
    <t>Sponsor has asked for the Estimate to Complete (ETC) which is USD 12,14,286</t>
  </si>
  <si>
    <t>Sponsor has asked for the Estimate at Completion (EAC) which is USD 7,89,286</t>
  </si>
  <si>
    <t>Sponsor has asked for the Estimate to Complete (ETC) which is USD 7,89,286</t>
  </si>
  <si>
    <t>Sponsor has asked for the To-Complete Performance Index (TCPI) which is 0.7</t>
  </si>
  <si>
    <t>Sponsor has asked for the To-Complete Performance Index (TCPI) which is 1.3</t>
  </si>
  <si>
    <t>Mark for Review</t>
  </si>
  <si>
    <t>Unattempted</t>
  </si>
  <si>
    <t>Attempted</t>
  </si>
  <si>
    <t>Explanation</t>
  </si>
  <si>
    <t>Question No/Option</t>
  </si>
  <si>
    <t>Question Text</t>
  </si>
  <si>
    <t>Your Answer</t>
  </si>
  <si>
    <t>Correct Answer</t>
  </si>
  <si>
    <t>Lookup Up</t>
  </si>
  <si>
    <t>Match</t>
  </si>
  <si>
    <t>Overall Score</t>
  </si>
  <si>
    <r>
      <t xml:space="preserve">PMP Mock Test - Earned Value Management </t>
    </r>
    <r>
      <rPr>
        <b/>
        <sz val="22"/>
        <color theme="1"/>
        <rFont val="Calibri"/>
        <family val="2"/>
      </rPr>
      <t>©JayantKodwani.com</t>
    </r>
  </si>
  <si>
    <t>Progress Summary PMP Mock Test - Earned Value Management ©JayantKodwani.com</t>
  </si>
  <si>
    <t>The CPI denotes the efficiency of the funds allocated to the project. In this case the project realizes only USD 0.59 for every single dollar spent on the project.</t>
  </si>
  <si>
    <t>#</t>
  </si>
  <si>
    <t>Metric</t>
  </si>
  <si>
    <t>Acronym</t>
  </si>
  <si>
    <t>Formula</t>
  </si>
  <si>
    <t>Calculation</t>
  </si>
  <si>
    <t>Earned Value %</t>
  </si>
  <si>
    <t>EV%</t>
  </si>
  <si>
    <t>Earned Value % = (EV/BAC)x100</t>
  </si>
  <si>
    <t>Planned Value %</t>
  </si>
  <si>
    <t>PV%</t>
  </si>
  <si>
    <t>Planned Value % = (PV/BAC)x100</t>
  </si>
  <si>
    <t>Actual Cost AC</t>
  </si>
  <si>
    <t>AC</t>
  </si>
  <si>
    <t>Budget At Completion (BAC)</t>
  </si>
  <si>
    <t>BAC</t>
  </si>
  <si>
    <t>Earned Value (EV)</t>
  </si>
  <si>
    <t>EV</t>
  </si>
  <si>
    <t>EV= (% Earned Value x BAC)</t>
  </si>
  <si>
    <t>Planned Value  (PV)</t>
  </si>
  <si>
    <t>PV</t>
  </si>
  <si>
    <t>PV= (% Planned Value x BAC)</t>
  </si>
  <si>
    <t>Schedule Variance (SV)</t>
  </si>
  <si>
    <t>SV</t>
  </si>
  <si>
    <t>SV = EV-PV</t>
  </si>
  <si>
    <t>Cost Variance (CV)</t>
  </si>
  <si>
    <t>CV</t>
  </si>
  <si>
    <t>CV = EV-AC</t>
  </si>
  <si>
    <t>Cost Performance Index (CPI)</t>
  </si>
  <si>
    <t>CPI</t>
  </si>
  <si>
    <t>CPI = EV/AC</t>
  </si>
  <si>
    <t>Schedule Performace Indicator (SPI)</t>
  </si>
  <si>
    <t>SPI</t>
  </si>
  <si>
    <t>SPI = EV/PV</t>
  </si>
  <si>
    <t>Remaining work (RW)</t>
  </si>
  <si>
    <t>RW</t>
  </si>
  <si>
    <t>RW= (BAC-EV)</t>
  </si>
  <si>
    <t>Burn Rate</t>
  </si>
  <si>
    <t>BR</t>
  </si>
  <si>
    <t>Burn Rate = (1/CPI)</t>
  </si>
  <si>
    <t>Estimate to Complete At same variance Typical (ETC1)</t>
  </si>
  <si>
    <t>ETC1</t>
  </si>
  <si>
    <t>ETC1 = RW/Current CPI</t>
  </si>
  <si>
    <t>Estimate at Completion Typical (EAC1)</t>
  </si>
  <si>
    <t>EAC1</t>
  </si>
  <si>
    <t>EAC1=BAC/CPI</t>
  </si>
  <si>
    <t>To complete performance Index at same variance Typical (TCPI1)</t>
  </si>
  <si>
    <t>TCPI1</t>
  </si>
  <si>
    <t>TCPI1=RW/ETC1</t>
  </si>
  <si>
    <t>Estimate to Complete At no more variances atypical (ETC2)</t>
  </si>
  <si>
    <t>ETC2</t>
  </si>
  <si>
    <t>ETC2= BAC-AC</t>
  </si>
  <si>
    <t>Estimate at Completion aTypical</t>
  </si>
  <si>
    <t>EAC2</t>
  </si>
  <si>
    <t>EAC2=AC+RW</t>
  </si>
  <si>
    <t>To complete performance Index at no more variances atypical (TCPI2)</t>
  </si>
  <si>
    <t>TCPI2</t>
  </si>
  <si>
    <t>TCPI2= RW/ETC2</t>
  </si>
  <si>
    <t>Savings by controlling CPI</t>
  </si>
  <si>
    <t>SAV</t>
  </si>
  <si>
    <t>Savings= EAC1-EAC2</t>
  </si>
  <si>
    <t>% Savings by controlling CPI</t>
  </si>
  <si>
    <t>SAV%</t>
  </si>
  <si>
    <t>% Savings = (EAC1-EAC2)/EAC1</t>
  </si>
  <si>
    <t>Project Cost Status</t>
  </si>
  <si>
    <t>Project Schedule Status</t>
  </si>
  <si>
    <t>PMP Mock Test - Earned Value Management ©JayantKodwani.com</t>
  </si>
  <si>
    <t>Definition</t>
  </si>
  <si>
    <t>A measure of the cost efficiency of budgeted resources expressed as the ratio of earned value to actual cost. See also schedule performance index (SPI).</t>
  </si>
  <si>
    <t xml:space="preserve">A measure of schedule efficiency expressed as the ratio of earned value to planned value. </t>
  </si>
  <si>
    <t>The measure of work yet to be performed in order to finish the project</t>
  </si>
  <si>
    <t>The burn rate of any project is the rate at which the project budget is being burned (spent). In earned value management, burn rate is calculated via the formula, 1/CPI, where CPI stands for Cost Performance Index, which is equal to Earned Value / Actual Cost.</t>
  </si>
  <si>
    <t>Alternate Formula</t>
  </si>
  <si>
    <t>Since sponsor has asked for the likelihood of the project being able to meet the estimate at completion, we need to calculate the TCPI by definition.  Remember if nothing is mentioned about the variances assume typical scenario only. Refer row 17 on "EVM_Calculator" for exact calculation. Option A is the correct answer.</t>
  </si>
  <si>
    <t>EV (Earned Value) = % Work Completed * BAC (Budget at Completion), Hence 35% * 8,50,000 = 2,97,500, Option C is the correct answer. Refer row 7 on "EVM_Calculator" for exact calculation.</t>
  </si>
  <si>
    <r>
      <t xml:space="preserve">The sponsor has asked for the ETC (Estimate to Complete) = (EAC-AC), where EAC here is assumed as Typical (BAC/CPI). Hence Option D is the correct answer. Refer row </t>
    </r>
    <r>
      <rPr>
        <b/>
        <sz val="11"/>
        <color theme="1"/>
        <rFont val="Calibri"/>
        <family val="2"/>
        <scheme val="minor"/>
      </rPr>
      <t xml:space="preserve">15 </t>
    </r>
    <r>
      <rPr>
        <sz val="11"/>
        <color theme="1"/>
        <rFont val="Calibri"/>
        <family val="2"/>
        <scheme val="minor"/>
      </rPr>
      <t xml:space="preserve">on </t>
    </r>
    <r>
      <rPr>
        <b/>
        <sz val="11"/>
        <color theme="1"/>
        <rFont val="Calibri"/>
        <family val="2"/>
        <scheme val="minor"/>
      </rPr>
      <t>"EVM_Calculator"</t>
    </r>
    <r>
      <rPr>
        <sz val="11"/>
        <color theme="1"/>
        <rFont val="Calibri"/>
        <family val="2"/>
        <scheme val="minor"/>
      </rPr>
      <t xml:space="preserve"> tab for exact calculation. Remember if nothing is mentioned about the variances assume typical scenario only.</t>
    </r>
  </si>
  <si>
    <r>
      <t xml:space="preserve">SPI = EV/PV, Hence EV= SPI*PV (0.875x3,40,000=2,97,500)
Further Schedule Variance = EV-PV ( 2,97,500 - 3,40,000 = -42,500)
Hence, Option C is the correct answer. Refer row </t>
    </r>
    <r>
      <rPr>
        <b/>
        <sz val="11"/>
        <color theme="1"/>
        <rFont val="Calibri"/>
        <family val="2"/>
        <scheme val="minor"/>
      </rPr>
      <t>9</t>
    </r>
    <r>
      <rPr>
        <sz val="11"/>
        <color theme="1"/>
        <rFont val="Calibri"/>
        <family val="2"/>
        <scheme val="minor"/>
      </rPr>
      <t xml:space="preserve"> on </t>
    </r>
    <r>
      <rPr>
        <b/>
        <sz val="11"/>
        <color theme="1"/>
        <rFont val="Calibri"/>
        <family val="2"/>
        <scheme val="minor"/>
      </rPr>
      <t xml:space="preserve">"EVM_Calculator" </t>
    </r>
    <r>
      <rPr>
        <sz val="11"/>
        <color theme="1"/>
        <rFont val="Calibri"/>
        <family val="2"/>
        <scheme val="minor"/>
      </rPr>
      <t>tab</t>
    </r>
    <r>
      <rPr>
        <b/>
        <sz val="11"/>
        <color theme="1"/>
        <rFont val="Calibri"/>
        <family val="2"/>
        <scheme val="minor"/>
      </rPr>
      <t xml:space="preserve"> </t>
    </r>
    <r>
      <rPr>
        <sz val="11"/>
        <color theme="1"/>
        <rFont val="Calibri"/>
        <family val="2"/>
        <scheme val="minor"/>
      </rPr>
      <t xml:space="preserve">for exact calculation. </t>
    </r>
  </si>
  <si>
    <r>
      <t xml:space="preserve">SV = EV-PV, Hence EV= SV+PV (-42,500+3,40,000 = 2,97,500)
CV = EV-AC (2,97,500 - 4,25,000 = -1,27,500)
Hence, Option A is the correct answer. Refer row </t>
    </r>
    <r>
      <rPr>
        <b/>
        <sz val="11"/>
        <color theme="1"/>
        <rFont val="Calibri"/>
        <family val="2"/>
        <scheme val="minor"/>
      </rPr>
      <t>10</t>
    </r>
    <r>
      <rPr>
        <sz val="11"/>
        <color theme="1"/>
        <rFont val="Calibri"/>
        <family val="2"/>
        <scheme val="minor"/>
      </rPr>
      <t xml:space="preserve"> on </t>
    </r>
    <r>
      <rPr>
        <b/>
        <sz val="11"/>
        <color theme="1"/>
        <rFont val="Calibri"/>
        <family val="2"/>
        <scheme val="minor"/>
      </rPr>
      <t>"EVM_Calculator"</t>
    </r>
    <r>
      <rPr>
        <sz val="11"/>
        <color theme="1"/>
        <rFont val="Calibri"/>
        <family val="2"/>
        <scheme val="minor"/>
      </rPr>
      <t xml:space="preserve"> tab for exact calculation. </t>
    </r>
  </si>
  <si>
    <t>A project with both Schedule Performance Index (SPI) and Cost Performance Index (CPI) of 0.80. The project is currently:</t>
  </si>
  <si>
    <t>Ahead of schedule and Under budget</t>
  </si>
  <si>
    <t>Behind schedule and Under budget</t>
  </si>
  <si>
    <t>Ahead of schedule and Over budget</t>
  </si>
  <si>
    <t>Behind schedule and Over budget</t>
  </si>
  <si>
    <t>A project has Schedule Performance Index (SPI) = 0.9  and Cost Performance Index (CPI) = 1.2 ,  The project is currently:</t>
  </si>
  <si>
    <t>Remember CPI and SPI &gt;1 depicts Good health of a project. Here both CPI and SPI are &lt;1, which means projects is Behind Schedule and Over Budget.</t>
  </si>
  <si>
    <t>Remember CPI and SPI &gt;1 depicts Good health of a project. Here SPI is  &lt;1, which means projects is Behind Schedule, whereas CPI&gt;1 which means the budget of the project is under control. Hence, Option B is the correct answer.</t>
  </si>
  <si>
    <t>A project with Earned Value (EV) = $1000, Actual Cost (AC) = $800 and Planned Value (PV) = $800. What is the Schedule Variance (SV)?</t>
  </si>
  <si>
    <t>SV = EV - PV, Hence SV= 1000-800= $200, Option A is the correct answer</t>
  </si>
  <si>
    <t>USD 200</t>
  </si>
  <si>
    <t>USD 10</t>
  </si>
  <si>
    <t>USD -100</t>
  </si>
  <si>
    <t>USD -200</t>
  </si>
  <si>
    <t xml:space="preserve">The measure of work performed expressed in terms of the budget authorized for that work. </t>
  </si>
  <si>
    <t xml:space="preserve">The authorized budget assigned to scheduled work. </t>
  </si>
  <si>
    <t>The realized cost incurred for the work performed on an activity during a specific time period.</t>
  </si>
  <si>
    <t xml:space="preserve">The sum of all budgets established for the work to be performed. </t>
  </si>
  <si>
    <t>The authorized budget assigned to scheduled work.</t>
  </si>
  <si>
    <t xml:space="preserve">A measure of schedule performance expressed as the difference between the earned value and the planned value. </t>
  </si>
  <si>
    <t xml:space="preserve">The amount of budget deficit or surplus at a given point in time, expressed as the difference between the earned value and the actual cost. </t>
  </si>
  <si>
    <t>The expected cost to finish all the remaining project work.</t>
  </si>
  <si>
    <t xml:space="preserve">The expected total cost of completing all work expressed as the sum of the actual cost to date and the estimate to complete. </t>
  </si>
  <si>
    <t>A measure of the cost performance that is achieved with the remaining resources in order to meet a specified management goal, expressed as the ratio of the cost to finish the outstanding work to the remaining budget.</t>
  </si>
  <si>
    <t xml:space="preserve">The expected cost to finish all the remaining project work. </t>
  </si>
  <si>
    <t xml:space="preserve">A measure of the cost performance that is achieved with the remaining resources in order to meet a specified management goal, expressed as the ratio of the cost to finish the outstanding work to the remaining budget. </t>
  </si>
  <si>
    <r>
      <t xml:space="preserve">                EVM Calculator with PMP Mock Test </t>
    </r>
    <r>
      <rPr>
        <b/>
        <sz val="22"/>
        <color theme="1"/>
        <rFont val="Calibri"/>
        <family val="2"/>
      </rPr>
      <t>©JayantKodwani.com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</si>
</sst>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u/>
      <sz val="11"/>
      <color theme="10"/>
      <name val="Calibri"/>
      <family val="2"/>
      <scheme val="minor"/>
    </font>
    <font>
      <sz val="8"/>
      <color rgb="FF000000"/>
      <name val="Segoe UI"/>
      <family val="2"/>
    </font>
    <font>
      <u/>
      <sz val="14"/>
      <color theme="10"/>
      <name val="Calibri"/>
      <family val="2"/>
      <scheme val="minor"/>
    </font>
    <font>
      <sz val="11"/>
      <color theme="1"/>
      <name val="Calibri"/>
      <family val="2"/>
      <scheme val="minor"/>
    </font>
    <font>
      <b/>
      <sz val="22"/>
      <color theme="1"/>
      <name val="Calibri"/>
      <family val="2"/>
      <scheme val="minor"/>
    </font>
    <font>
      <b/>
      <sz val="11"/>
      <color theme="1"/>
      <name val="Calibri"/>
      <family val="2"/>
      <scheme val="minor"/>
    </font>
    <font>
      <b/>
      <sz val="18"/>
      <color theme="1"/>
      <name val="Calibri"/>
      <family val="2"/>
      <scheme val="minor"/>
    </font>
    <font>
      <b/>
      <sz val="22"/>
      <color theme="1"/>
      <name val="Calibri"/>
      <family val="2"/>
    </font>
    <font>
      <sz val="14"/>
      <color theme="1"/>
      <name val="Calibri"/>
      <family val="2"/>
      <scheme val="minor"/>
    </font>
    <font>
      <b/>
      <sz val="14"/>
      <color theme="1"/>
      <name val="Calibri"/>
      <family val="2"/>
      <scheme val="minor"/>
    </font>
    <font>
      <b/>
      <sz val="16"/>
      <color theme="1"/>
      <name val="Calibri"/>
      <family val="2"/>
      <scheme val="minor"/>
    </font>
    <font>
      <sz val="12"/>
      <color theme="1"/>
      <name val="Calibri"/>
      <family val="2"/>
      <scheme val="minor"/>
    </font>
  </fonts>
  <fills count="11">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9" fontId="4" fillId="0" borderId="0" applyFont="0" applyFill="0" applyBorder="0" applyAlignment="0" applyProtection="0"/>
  </cellStyleXfs>
  <cellXfs count="80">
    <xf numFmtId="0" fontId="0" fillId="0" borderId="0" xfId="0"/>
    <xf numFmtId="0" fontId="0" fillId="0" borderId="0" xfId="0" applyAlignment="1">
      <alignment horizontal="center"/>
    </xf>
    <xf numFmtId="0" fontId="1" fillId="0" borderId="0" xfId="1" quotePrefix="1"/>
    <xf numFmtId="0" fontId="0" fillId="4" borderId="1" xfId="0" applyFill="1" applyBorder="1" applyAlignment="1">
      <alignment horizontal="center" vertical="center"/>
    </xf>
    <xf numFmtId="0" fontId="0" fillId="3" borderId="1" xfId="0"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3" fillId="5" borderId="1" xfId="1" applyNumberFormat="1" applyFont="1" applyFill="1" applyBorder="1" applyAlignment="1" applyProtection="1">
      <alignment horizontal="center"/>
      <protection locked="0"/>
    </xf>
    <xf numFmtId="9" fontId="0" fillId="0" borderId="0" xfId="2" applyFont="1" applyAlignment="1">
      <alignment horizontal="center"/>
    </xf>
    <xf numFmtId="0" fontId="0" fillId="0" borderId="1" xfId="0" applyBorder="1" applyAlignment="1">
      <alignment vertical="top" wrapText="1"/>
    </xf>
    <xf numFmtId="0" fontId="0" fillId="0" borderId="0" xfId="0" applyAlignment="1">
      <alignment horizontal="center" vertical="top"/>
    </xf>
    <xf numFmtId="0" fontId="0" fillId="0" borderId="0" xfId="0" applyAlignment="1">
      <alignment vertical="top"/>
    </xf>
    <xf numFmtId="0" fontId="0" fillId="6" borderId="1" xfId="0" applyFill="1" applyBorder="1" applyAlignment="1">
      <alignment horizontal="center" vertical="top"/>
    </xf>
    <xf numFmtId="0" fontId="0" fillId="6" borderId="1" xfId="0" applyFill="1" applyBorder="1" applyAlignment="1">
      <alignment vertical="top" wrapText="1"/>
    </xf>
    <xf numFmtId="0" fontId="0" fillId="7" borderId="1" xfId="0" applyFill="1" applyBorder="1" applyAlignment="1">
      <alignment horizontal="center" vertical="center"/>
    </xf>
    <xf numFmtId="0" fontId="0" fillId="7" borderId="1" xfId="0" applyFill="1" applyBorder="1" applyAlignment="1">
      <alignment horizontal="center" vertical="top"/>
    </xf>
    <xf numFmtId="0" fontId="6" fillId="3" borderId="1" xfId="0" applyFont="1" applyFill="1" applyBorder="1" applyAlignment="1">
      <alignment horizontal="center" vertical="top"/>
    </xf>
    <xf numFmtId="0" fontId="7" fillId="3" borderId="1" xfId="0" applyFont="1" applyFill="1" applyBorder="1" applyAlignment="1">
      <alignment horizontal="center" vertical="top"/>
    </xf>
    <xf numFmtId="0" fontId="6" fillId="4" borderId="1" xfId="0" applyFont="1" applyFill="1" applyBorder="1" applyAlignment="1">
      <alignment horizontal="center" vertical="top"/>
    </xf>
    <xf numFmtId="9" fontId="7" fillId="3" borderId="1" xfId="2" applyFont="1" applyFill="1" applyBorder="1" applyAlignment="1">
      <alignment horizontal="left" vertical="top" wrapText="1"/>
    </xf>
    <xf numFmtId="0" fontId="0" fillId="0" borderId="0" xfId="0" applyAlignment="1">
      <alignment vertical="top" wrapText="1"/>
    </xf>
    <xf numFmtId="0" fontId="6" fillId="3" borderId="1" xfId="0" applyFont="1" applyFill="1" applyBorder="1" applyAlignment="1">
      <alignment vertical="top" wrapText="1"/>
    </xf>
    <xf numFmtId="0" fontId="0" fillId="7" borderId="1" xfId="0" applyFill="1" applyBorder="1" applyAlignment="1">
      <alignment vertical="top" wrapText="1"/>
    </xf>
    <xf numFmtId="0" fontId="0" fillId="0" borderId="1" xfId="0" applyBorder="1" applyAlignment="1">
      <alignment horizontal="center"/>
    </xf>
    <xf numFmtId="0" fontId="0" fillId="0" borderId="1" xfId="0" applyBorder="1"/>
    <xf numFmtId="1" fontId="0" fillId="0" borderId="0" xfId="0" applyNumberFormat="1"/>
    <xf numFmtId="0" fontId="0" fillId="6" borderId="1" xfId="0" applyFill="1" applyBorder="1" applyAlignment="1">
      <alignment horizontal="center"/>
    </xf>
    <xf numFmtId="0" fontId="0" fillId="6" borderId="1" xfId="0" applyFill="1" applyBorder="1"/>
    <xf numFmtId="0" fontId="0" fillId="9" borderId="1" xfId="0" applyFill="1" applyBorder="1"/>
    <xf numFmtId="0" fontId="0" fillId="0" borderId="1" xfId="0" applyFill="1" applyBorder="1"/>
    <xf numFmtId="1" fontId="0" fillId="0" borderId="0" xfId="0" applyNumberFormat="1" applyAlignment="1">
      <alignment horizontal="center"/>
    </xf>
    <xf numFmtId="0" fontId="0" fillId="10" borderId="1" xfId="0" applyFill="1" applyBorder="1" applyAlignment="1">
      <alignment horizontal="center"/>
    </xf>
    <xf numFmtId="0" fontId="0" fillId="0" borderId="0" xfId="0" applyAlignment="1">
      <alignment vertical="center"/>
    </xf>
    <xf numFmtId="0" fontId="10" fillId="8" borderId="1" xfId="0" applyFont="1" applyFill="1" applyBorder="1" applyAlignment="1">
      <alignment horizontal="center" vertical="center"/>
    </xf>
    <xf numFmtId="0" fontId="11" fillId="4" borderId="1" xfId="0" applyFont="1" applyFill="1" applyBorder="1" applyAlignment="1">
      <alignment horizontal="center" vertical="center"/>
    </xf>
    <xf numFmtId="0" fontId="11" fillId="4" borderId="1" xfId="0" applyFont="1" applyFill="1" applyBorder="1" applyAlignment="1">
      <alignment vertical="center"/>
    </xf>
    <xf numFmtId="0" fontId="0" fillId="4" borderId="0" xfId="0" applyFill="1"/>
    <xf numFmtId="1" fontId="0" fillId="6" borderId="1" xfId="0" applyNumberFormat="1" applyFill="1" applyBorder="1" applyAlignment="1">
      <alignment horizontal="center" vertical="center"/>
    </xf>
    <xf numFmtId="0" fontId="11" fillId="4" borderId="1" xfId="0" applyFont="1" applyFill="1" applyBorder="1" applyAlignment="1">
      <alignment horizontal="center" vertical="center" wrapText="1"/>
    </xf>
    <xf numFmtId="9" fontId="0" fillId="0" borderId="1" xfId="2" applyFont="1" applyBorder="1" applyAlignment="1">
      <alignment horizontal="center" vertical="center"/>
    </xf>
    <xf numFmtId="0" fontId="0" fillId="8" borderId="1" xfId="0" applyFill="1" applyBorder="1" applyAlignment="1">
      <alignment horizontal="center" vertical="center"/>
    </xf>
    <xf numFmtId="1" fontId="0" fillId="8" borderId="1" xfId="0" applyNumberFormat="1" applyFill="1" applyBorder="1" applyAlignment="1">
      <alignment horizontal="center" vertical="center"/>
    </xf>
    <xf numFmtId="0" fontId="0" fillId="9" borderId="1" xfId="0" applyFill="1" applyBorder="1" applyAlignment="1">
      <alignment horizontal="center" vertical="center"/>
    </xf>
    <xf numFmtId="1" fontId="0" fillId="9" borderId="1" xfId="0" applyNumberFormat="1" applyFill="1" applyBorder="1" applyAlignment="1">
      <alignment horizontal="center" vertical="center"/>
    </xf>
    <xf numFmtId="9" fontId="0" fillId="8" borderId="1" xfId="2" applyFont="1" applyFill="1" applyBorder="1" applyAlignment="1">
      <alignment horizontal="center" vertical="center"/>
    </xf>
    <xf numFmtId="1" fontId="0" fillId="0" borderId="0" xfId="0" applyNumberFormat="1" applyAlignment="1">
      <alignment horizontal="center" vertical="center"/>
    </xf>
    <xf numFmtId="0" fontId="0" fillId="0" borderId="0" xfId="0" applyAlignment="1">
      <alignment horizontal="center" vertical="center"/>
    </xf>
    <xf numFmtId="0" fontId="0" fillId="7" borderId="1" xfId="0" applyNumberFormat="1" applyFill="1" applyBorder="1" applyAlignment="1">
      <alignment horizontal="left" vertical="top" wrapText="1"/>
    </xf>
    <xf numFmtId="0" fontId="12" fillId="6" borderId="1" xfId="0" applyFont="1" applyFill="1" applyBorder="1" applyAlignment="1">
      <alignment vertical="top" wrapText="1"/>
    </xf>
    <xf numFmtId="0" fontId="12" fillId="7" borderId="1" xfId="0" applyFont="1" applyFill="1" applyBorder="1" applyAlignment="1">
      <alignment vertical="top"/>
    </xf>
    <xf numFmtId="0" fontId="11" fillId="4" borderId="1" xfId="0" applyFont="1" applyFill="1" applyBorder="1" applyAlignment="1">
      <alignment vertical="center" wrapText="1"/>
    </xf>
    <xf numFmtId="0" fontId="0" fillId="0" borderId="0" xfId="0" applyAlignment="1">
      <alignment vertical="center" wrapText="1"/>
    </xf>
    <xf numFmtId="9" fontId="0" fillId="3" borderId="1" xfId="2" applyFont="1" applyFill="1" applyBorder="1" applyAlignment="1" applyProtection="1">
      <alignment horizontal="center"/>
      <protection locked="0"/>
    </xf>
    <xf numFmtId="0" fontId="0" fillId="3" borderId="1" xfId="0" applyFill="1" applyBorder="1" applyAlignment="1" applyProtection="1">
      <alignment horizontal="center"/>
      <protection locked="0"/>
    </xf>
    <xf numFmtId="0" fontId="0" fillId="8" borderId="1" xfId="0" applyFill="1" applyBorder="1" applyAlignment="1" applyProtection="1">
      <alignment horizontal="center"/>
      <protection locked="0"/>
    </xf>
    <xf numFmtId="164" fontId="0" fillId="8" borderId="1" xfId="0" applyNumberFormat="1" applyFill="1" applyBorder="1" applyAlignment="1" applyProtection="1">
      <alignment horizontal="center"/>
      <protection locked="0"/>
    </xf>
    <xf numFmtId="2" fontId="0" fillId="8" borderId="1" xfId="0" applyNumberForma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0" fontId="0" fillId="6" borderId="1" xfId="0" applyFill="1" applyBorder="1" applyAlignment="1" applyProtection="1">
      <alignment horizontal="center"/>
      <protection locked="0"/>
    </xf>
    <xf numFmtId="1" fontId="0" fillId="9" borderId="1" xfId="0" applyNumberFormat="1" applyFill="1" applyBorder="1" applyAlignment="1" applyProtection="1">
      <alignment horizontal="center"/>
      <protection locked="0"/>
    </xf>
    <xf numFmtId="0" fontId="0" fillId="9" borderId="1" xfId="0" applyFill="1" applyBorder="1" applyAlignment="1" applyProtection="1">
      <alignment horizontal="center"/>
      <protection locked="0"/>
    </xf>
    <xf numFmtId="1" fontId="0" fillId="8" borderId="1" xfId="0" applyNumberFormat="1" applyFill="1" applyBorder="1" applyAlignment="1" applyProtection="1">
      <alignment horizontal="center"/>
      <protection locked="0"/>
    </xf>
    <xf numFmtId="9" fontId="0" fillId="8" borderId="1" xfId="2" applyFont="1" applyFill="1" applyBorder="1" applyAlignment="1" applyProtection="1">
      <alignment horizontal="center"/>
      <protection locked="0"/>
    </xf>
    <xf numFmtId="0" fontId="12" fillId="0" borderId="1" xfId="0" applyFont="1" applyBorder="1" applyAlignment="1">
      <alignment horizontal="center" vertical="center"/>
    </xf>
    <xf numFmtId="0" fontId="12" fillId="0" borderId="1" xfId="0" applyFont="1" applyBorder="1" applyAlignment="1">
      <alignment vertical="center"/>
    </xf>
    <xf numFmtId="0" fontId="12" fillId="0" borderId="1" xfId="0" applyFont="1" applyBorder="1" applyAlignment="1">
      <alignment vertical="center" wrapText="1"/>
    </xf>
    <xf numFmtId="0" fontId="12" fillId="6" borderId="1" xfId="0" applyFont="1" applyFill="1" applyBorder="1" applyAlignment="1">
      <alignment horizontal="center" vertical="center"/>
    </xf>
    <xf numFmtId="0" fontId="12" fillId="6" borderId="1" xfId="0" applyFont="1" applyFill="1" applyBorder="1" applyAlignment="1">
      <alignment vertical="center"/>
    </xf>
    <xf numFmtId="0" fontId="12" fillId="6" borderId="1" xfId="0" applyFont="1" applyFill="1" applyBorder="1" applyAlignment="1">
      <alignment vertical="center" wrapText="1"/>
    </xf>
    <xf numFmtId="0" fontId="12" fillId="10" borderId="1" xfId="0" applyFont="1" applyFill="1" applyBorder="1" applyAlignment="1">
      <alignment horizontal="center" vertical="center"/>
    </xf>
    <xf numFmtId="0" fontId="12" fillId="9" borderId="1" xfId="0" applyFont="1" applyFill="1" applyBorder="1" applyAlignment="1">
      <alignment vertical="center"/>
    </xf>
    <xf numFmtId="0" fontId="12" fillId="9" borderId="1" xfId="0" applyFont="1" applyFill="1" applyBorder="1" applyAlignment="1">
      <alignment vertical="center" wrapText="1"/>
    </xf>
    <xf numFmtId="0" fontId="0" fillId="0" borderId="0" xfId="0" applyFill="1" applyAlignment="1">
      <alignment horizontal="center"/>
    </xf>
    <xf numFmtId="0" fontId="5" fillId="3" borderId="2" xfId="0" applyFont="1" applyFill="1" applyBorder="1" applyAlignment="1">
      <alignment horizontal="center" vertical="center"/>
    </xf>
    <xf numFmtId="0" fontId="5" fillId="3" borderId="4"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7" fillId="3" borderId="4" xfId="0" applyFont="1" applyFill="1" applyBorder="1" applyAlignment="1">
      <alignment horizontal="center" vertical="center"/>
    </xf>
  </cellXfs>
  <cellStyles count="3">
    <cellStyle name="Hyperlink" xfId="1" builtinId="8"/>
    <cellStyle name="Normal" xfId="0" builtinId="0"/>
    <cellStyle name="Percent" xfId="2" builtinId="5"/>
  </cellStyles>
  <dxfs count="83">
    <dxf>
      <fill>
        <patternFill>
          <bgColor rgb="FF92D050"/>
        </patternFill>
      </fill>
    </dxf>
    <dxf>
      <fill>
        <patternFill>
          <bgColor rgb="FFFFFF00"/>
        </patternFill>
      </fill>
    </dxf>
    <dxf>
      <font>
        <color rgb="FF9C0006"/>
      </font>
      <fill>
        <patternFill>
          <bgColor rgb="FFFFC7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auto="1"/>
      </font>
      <fill>
        <patternFill>
          <bgColor rgb="FF92D050"/>
        </patternFill>
      </fill>
    </dxf>
  </dxfs>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fmlaLink="$I$6" lockText="1" noThreeD="1"/>
</file>

<file path=xl/ctrlProps/ctrlProp2.xml><?xml version="1.0" encoding="utf-8"?>
<formControlPr xmlns="http://schemas.microsoft.com/office/spreadsheetml/2009/9/main" objectType="Radio" firstButton="1" fmlaLink="$H$6"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CheckBox" fmlaLink="$I$6" lockText="1" noThreeD="1"/>
</file>

<file path=xl/ctrlProps/ctrlProp7.xml><?xml version="1.0" encoding="utf-8"?>
<formControlPr xmlns="http://schemas.microsoft.com/office/spreadsheetml/2009/9/main" objectType="Radio" firstButton="1" fmlaLink="$H$6"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CheckBox" fmlaLink="$I$6" lockText="1" noThreeD="1"/>
</file>

<file path=xl/ctrlProps/ctrlProp12.xml><?xml version="1.0" encoding="utf-8"?>
<formControlPr xmlns="http://schemas.microsoft.com/office/spreadsheetml/2009/9/main" objectType="Radio" firstButton="1" fmlaLink="$H$6"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CheckBox" fmlaLink="$I$6" lockText="1" noThreeD="1"/>
</file>

<file path=xl/ctrlProps/ctrlProp17.xml><?xml version="1.0" encoding="utf-8"?>
<formControlPr xmlns="http://schemas.microsoft.com/office/spreadsheetml/2009/9/main" objectType="Radio" firstButton="1" fmlaLink="$H$6"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CheckBox" fmlaLink="$I$6" lockText="1" noThreeD="1"/>
</file>

<file path=xl/ctrlProps/ctrlProp22.xml><?xml version="1.0" encoding="utf-8"?>
<formControlPr xmlns="http://schemas.microsoft.com/office/spreadsheetml/2009/9/main" objectType="Radio" firstButton="1" fmlaLink="$H$6"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CheckBox" fmlaLink="$I$6" lockText="1" noThreeD="1"/>
</file>

<file path=xl/ctrlProps/ctrlProp27.xml><?xml version="1.0" encoding="utf-8"?>
<formControlPr xmlns="http://schemas.microsoft.com/office/spreadsheetml/2009/9/main" objectType="Radio" firstButton="1" fmlaLink="$H$6"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CheckBox" fmlaLink="$I$6" lockText="1" noThreeD="1"/>
</file>

<file path=xl/ctrlProps/ctrlProp32.xml><?xml version="1.0" encoding="utf-8"?>
<formControlPr xmlns="http://schemas.microsoft.com/office/spreadsheetml/2009/9/main" objectType="Radio" firstButton="1" fmlaLink="$H$6"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Radio" lockText="1" noThreeD="1"/>
</file>

<file path=xl/ctrlProps/ctrlProp35.xml><?xml version="1.0" encoding="utf-8"?>
<formControlPr xmlns="http://schemas.microsoft.com/office/spreadsheetml/2009/9/main" objectType="Radio" lockText="1" noThreeD="1"/>
</file>

<file path=xl/ctrlProps/ctrlProp36.xml><?xml version="1.0" encoding="utf-8"?>
<formControlPr xmlns="http://schemas.microsoft.com/office/spreadsheetml/2009/9/main" objectType="CheckBox" fmlaLink="$I$6" lockText="1" noThreeD="1"/>
</file>

<file path=xl/ctrlProps/ctrlProp37.xml><?xml version="1.0" encoding="utf-8"?>
<formControlPr xmlns="http://schemas.microsoft.com/office/spreadsheetml/2009/9/main" objectType="Radio" firstButton="1" fmlaLink="$H$6"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CheckBox" fmlaLink="$I$6" lockText="1" noThreeD="1"/>
</file>

<file path=xl/ctrlProps/ctrlProp42.xml><?xml version="1.0" encoding="utf-8"?>
<formControlPr xmlns="http://schemas.microsoft.com/office/spreadsheetml/2009/9/main" objectType="Radio" firstButton="1" fmlaLink="$H$6" lockText="1" noThreeD="1"/>
</file>

<file path=xl/ctrlProps/ctrlProp43.xml><?xml version="1.0" encoding="utf-8"?>
<formControlPr xmlns="http://schemas.microsoft.com/office/spreadsheetml/2009/9/main" objectType="Radio"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Radio" lockText="1" noThreeD="1"/>
</file>

<file path=xl/ctrlProps/ctrlProp46.xml><?xml version="1.0" encoding="utf-8"?>
<formControlPr xmlns="http://schemas.microsoft.com/office/spreadsheetml/2009/9/main" objectType="CheckBox" fmlaLink="$I$6" lockText="1" noThreeD="1"/>
</file>

<file path=xl/ctrlProps/ctrlProp47.xml><?xml version="1.0" encoding="utf-8"?>
<formControlPr xmlns="http://schemas.microsoft.com/office/spreadsheetml/2009/9/main" objectType="Radio" firstButton="1" fmlaLink="$H$6" lockText="1" noThreeD="1"/>
</file>

<file path=xl/ctrlProps/ctrlProp48.xml><?xml version="1.0" encoding="utf-8"?>
<formControlPr xmlns="http://schemas.microsoft.com/office/spreadsheetml/2009/9/main" objectType="Radio" lockText="1" noThreeD="1"/>
</file>

<file path=xl/ctrlProps/ctrlProp49.xml><?xml version="1.0" encoding="utf-8"?>
<formControlPr xmlns="http://schemas.microsoft.com/office/spreadsheetml/2009/9/main" objectType="Radio" lockText="1" noThreeD="1"/>
</file>

<file path=xl/ctrlProps/ctrlProp50.xml><?xml version="1.0" encoding="utf-8"?>
<formControlPr xmlns="http://schemas.microsoft.com/office/spreadsheetml/2009/9/main" objectType="Radio" lockText="1" noThreeD="1"/>
</file>

<file path=xl/ctrlProps/ctrlProp51.xml><?xml version="1.0" encoding="utf-8"?>
<formControlPr xmlns="http://schemas.microsoft.com/office/spreadsheetml/2009/9/main" objectType="CheckBox" fmlaLink="$I$6" lockText="1" noThreeD="1"/>
</file>

<file path=xl/drawings/_rels/drawing1.xml.rels><?xml version="1.0" encoding="UTF-8" standalone="yes"?>
<Relationships xmlns="http://schemas.openxmlformats.org/package/2006/relationships"><Relationship Id="rId3" Type="http://schemas.openxmlformats.org/officeDocument/2006/relationships/hyperlink" Target="https://jayantkodwani.com/2018/02/05/ittos-based-on-pmbok-6th-edition/" TargetMode="External"/><Relationship Id="rId2" Type="http://schemas.openxmlformats.org/officeDocument/2006/relationships/image" Target="../media/image5.png"/><Relationship Id="rId1" Type="http://schemas.openxmlformats.org/officeDocument/2006/relationships/hyperlink" Target="http://www.jayantkodwani.com" TargetMode="External"/><Relationship Id="rId6" Type="http://schemas.openxmlformats.org/officeDocument/2006/relationships/image" Target="../media/image7.jpeg"/><Relationship Id="rId5" Type="http://schemas.openxmlformats.org/officeDocument/2006/relationships/hyperlink" Target="https://jayantkodwani.com/2017/12/27/how-to-prepare-for-pmp-exam/" TargetMode="External"/><Relationship Id="rId4" Type="http://schemas.openxmlformats.org/officeDocument/2006/relationships/image" Target="../media/image6.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ttp://www.jayantkodwani.com"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ttp://www.jayantkodwani.com"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hyperlink" Target="http://www.jayantkodwani.com"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4.emf"/><Relationship Id="rId2" Type="http://schemas.openxmlformats.org/officeDocument/2006/relationships/image" Target="../media/image15.emf"/><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8.emf"/><Relationship Id="rId1" Type="http://schemas.openxmlformats.org/officeDocument/2006/relationships/image" Target="../media/image19.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21.emf"/><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6.emf"/><Relationship Id="rId2" Type="http://schemas.openxmlformats.org/officeDocument/2006/relationships/image" Target="../media/image27.emf"/><Relationship Id="rId1" Type="http://schemas.openxmlformats.org/officeDocument/2006/relationships/image" Target="../media/image28.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9.emf"/><Relationship Id="rId2" Type="http://schemas.openxmlformats.org/officeDocument/2006/relationships/image" Target="../media/image30.emf"/><Relationship Id="rId1" Type="http://schemas.openxmlformats.org/officeDocument/2006/relationships/image" Target="../media/image3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35.emf"/><Relationship Id="rId2" Type="http://schemas.openxmlformats.org/officeDocument/2006/relationships/image" Target="../media/image36.emf"/><Relationship Id="rId1" Type="http://schemas.openxmlformats.org/officeDocument/2006/relationships/image" Target="../media/image37.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409575</xdr:colOff>
          <xdr:row>15</xdr:row>
          <xdr:rowOff>9525</xdr:rowOff>
        </xdr:from>
        <xdr:to>
          <xdr:col>0</xdr:col>
          <xdr:colOff>2828925</xdr:colOff>
          <xdr:row>18</xdr:row>
          <xdr:rowOff>161925</xdr:rowOff>
        </xdr:to>
        <xdr:sp macro="" textlink="">
          <xdr:nvSpPr>
            <xdr:cNvPr id="149505" name="CommandButton1" hidden="1">
              <a:extLst>
                <a:ext uri="{63B3BB69-23CF-44E3-9099-C40C66FF867C}">
                  <a14:compatExt spid="_x0000_s149505"/>
                </a:ext>
                <a:ext uri="{FF2B5EF4-FFF2-40B4-BE49-F238E27FC236}">
                  <a16:creationId xmlns:a16="http://schemas.microsoft.com/office/drawing/2014/main" id="{00000000-0008-0000-0000-000001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438150</xdr:colOff>
          <xdr:row>9</xdr:row>
          <xdr:rowOff>19050</xdr:rowOff>
        </xdr:from>
        <xdr:to>
          <xdr:col>0</xdr:col>
          <xdr:colOff>2847975</xdr:colOff>
          <xdr:row>12</xdr:row>
          <xdr:rowOff>133350</xdr:rowOff>
        </xdr:to>
        <xdr:sp macro="" textlink="">
          <xdr:nvSpPr>
            <xdr:cNvPr id="149509" name="CommandButton5" hidden="1">
              <a:extLst>
                <a:ext uri="{63B3BB69-23CF-44E3-9099-C40C66FF867C}">
                  <a14:compatExt spid="_x0000_s149509"/>
                </a:ext>
                <a:ext uri="{FF2B5EF4-FFF2-40B4-BE49-F238E27FC236}">
                  <a16:creationId xmlns:a16="http://schemas.microsoft.com/office/drawing/2014/main" id="{00000000-0008-0000-0000-000005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3</xdr:row>
          <xdr:rowOff>0</xdr:rowOff>
        </xdr:from>
        <xdr:to>
          <xdr:col>0</xdr:col>
          <xdr:colOff>2867025</xdr:colOff>
          <xdr:row>6</xdr:row>
          <xdr:rowOff>66675</xdr:rowOff>
        </xdr:to>
        <xdr:sp macro="" textlink="">
          <xdr:nvSpPr>
            <xdr:cNvPr id="149510" name="CommandButton6" hidden="1">
              <a:extLst>
                <a:ext uri="{63B3BB69-23CF-44E3-9099-C40C66FF867C}">
                  <a14:compatExt spid="_x0000_s149510"/>
                </a:ext>
                <a:ext uri="{FF2B5EF4-FFF2-40B4-BE49-F238E27FC236}">
                  <a16:creationId xmlns:a16="http://schemas.microsoft.com/office/drawing/2014/main" id="{00000000-0008-0000-0000-000006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2981324</xdr:colOff>
      <xdr:row>2</xdr:row>
      <xdr:rowOff>57150</xdr:rowOff>
    </xdr:from>
    <xdr:to>
      <xdr:col>0</xdr:col>
      <xdr:colOff>7943849</xdr:colOff>
      <xdr:row>19</xdr:row>
      <xdr:rowOff>66675</xdr:rowOff>
    </xdr:to>
    <xdr:sp macro="" textlink="">
      <xdr:nvSpPr>
        <xdr:cNvPr id="2" name="Rectangle: Rounded Corners 1">
          <a:extLst>
            <a:ext uri="{FF2B5EF4-FFF2-40B4-BE49-F238E27FC236}">
              <a16:creationId xmlns:a16="http://schemas.microsoft.com/office/drawing/2014/main" id="{00000000-0008-0000-0000-000002000000}"/>
            </a:ext>
          </a:extLst>
        </xdr:cNvPr>
        <xdr:cNvSpPr/>
      </xdr:nvSpPr>
      <xdr:spPr>
        <a:xfrm>
          <a:off x="2981324" y="619125"/>
          <a:ext cx="4962525" cy="32480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400"/>
            <a:t>This tool has been designed in</a:t>
          </a:r>
          <a:r>
            <a:rPr lang="en-US" sz="1400" baseline="0"/>
            <a:t> order to help PMP aspirants in understanding the important fields and calculations involved in Earned Value Management concepts. </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baseline="0"/>
        </a:p>
        <a:p>
          <a:pPr marL="0" marR="0" lvl="0" indent="0" algn="l" defTabSz="914400" eaLnBrk="1" fontAlgn="auto" latinLnBrk="0" hangingPunct="1">
            <a:lnSpc>
              <a:spcPct val="100000"/>
            </a:lnSpc>
            <a:spcBef>
              <a:spcPts val="0"/>
            </a:spcBef>
            <a:spcAft>
              <a:spcPts val="0"/>
            </a:spcAft>
            <a:buClrTx/>
            <a:buSzTx/>
            <a:buFontTx/>
            <a:buNone/>
            <a:tabLst/>
            <a:defRPr/>
          </a:pPr>
          <a:r>
            <a:rPr lang="en-US" sz="1400"/>
            <a:t>Earned Value Management is a</a:t>
          </a:r>
          <a:r>
            <a:rPr lang="en-US" sz="1400">
              <a:effectLst/>
            </a:rPr>
            <a:t> methodology that combines scope, schedule, and resource measurements to assess project performance and progress. </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400">
            <a:effectLst/>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400">
              <a:effectLst/>
            </a:rPr>
            <a:t>Further, this tool can be used</a:t>
          </a:r>
          <a:r>
            <a:rPr lang="en-US" sz="1400" baseline="0">
              <a:effectLst/>
            </a:rPr>
            <a:t> by PMP certified Professionals and Project Managers for their day to day earned value calculations</a:t>
          </a:r>
          <a:endParaRPr lang="en-US" sz="1400">
            <a:effectLst/>
          </a:endParaRPr>
        </a:p>
        <a:p>
          <a:pPr algn="l"/>
          <a:endParaRPr lang="en-US" sz="1400"/>
        </a:p>
      </xdr:txBody>
    </xdr:sp>
    <xdr:clientData/>
  </xdr:twoCellAnchor>
  <mc:AlternateContent xmlns:mc="http://schemas.openxmlformats.org/markup-compatibility/2006">
    <mc:Choice xmlns:a14="http://schemas.microsoft.com/office/drawing/2010/main" Requires="a14">
      <xdr:twoCellAnchor editAs="oneCell">
        <xdr:from>
          <xdr:col>0</xdr:col>
          <xdr:colOff>3562350</xdr:colOff>
          <xdr:row>16</xdr:row>
          <xdr:rowOff>28575</xdr:rowOff>
        </xdr:from>
        <xdr:to>
          <xdr:col>0</xdr:col>
          <xdr:colOff>7419975</xdr:colOff>
          <xdr:row>19</xdr:row>
          <xdr:rowOff>9525</xdr:rowOff>
        </xdr:to>
        <xdr:sp macro="" textlink="">
          <xdr:nvSpPr>
            <xdr:cNvPr id="149511" name="CommandButton7" hidden="1">
              <a:extLst>
                <a:ext uri="{63B3BB69-23CF-44E3-9099-C40C66FF867C}">
                  <a14:compatExt spid="_x0000_s149511"/>
                </a:ext>
                <a:ext uri="{FF2B5EF4-FFF2-40B4-BE49-F238E27FC236}">
                  <a16:creationId xmlns:a16="http://schemas.microsoft.com/office/drawing/2014/main" id="{00000000-0008-0000-0000-0000074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1495425</xdr:colOff>
      <xdr:row>6</xdr:row>
      <xdr:rowOff>133350</xdr:rowOff>
    </xdr:from>
    <xdr:to>
      <xdr:col>0</xdr:col>
      <xdr:colOff>1895475</xdr:colOff>
      <xdr:row>8</xdr:row>
      <xdr:rowOff>152400</xdr:rowOff>
    </xdr:to>
    <xdr:sp macro="" textlink="">
      <xdr:nvSpPr>
        <xdr:cNvPr id="3" name="Arrow: Down 2">
          <a:extLst>
            <a:ext uri="{FF2B5EF4-FFF2-40B4-BE49-F238E27FC236}">
              <a16:creationId xmlns:a16="http://schemas.microsoft.com/office/drawing/2014/main" id="{00000000-0008-0000-0000-000003000000}"/>
            </a:ext>
          </a:extLst>
        </xdr:cNvPr>
        <xdr:cNvSpPr/>
      </xdr:nvSpPr>
      <xdr:spPr>
        <a:xfrm>
          <a:off x="1495425" y="1457325"/>
          <a:ext cx="400050" cy="4000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1457325</xdr:colOff>
      <xdr:row>12</xdr:row>
      <xdr:rowOff>152400</xdr:rowOff>
    </xdr:from>
    <xdr:to>
      <xdr:col>0</xdr:col>
      <xdr:colOff>1857375</xdr:colOff>
      <xdr:row>14</xdr:row>
      <xdr:rowOff>171450</xdr:rowOff>
    </xdr:to>
    <xdr:sp macro="" textlink="">
      <xdr:nvSpPr>
        <xdr:cNvPr id="11" name="Arrow: Down 10">
          <a:extLst>
            <a:ext uri="{FF2B5EF4-FFF2-40B4-BE49-F238E27FC236}">
              <a16:creationId xmlns:a16="http://schemas.microsoft.com/office/drawing/2014/main" id="{00000000-0008-0000-0000-00000B000000}"/>
            </a:ext>
          </a:extLst>
        </xdr:cNvPr>
        <xdr:cNvSpPr/>
      </xdr:nvSpPr>
      <xdr:spPr>
        <a:xfrm>
          <a:off x="1457325" y="2619375"/>
          <a:ext cx="400050" cy="400050"/>
        </a:xfrm>
        <a:prstGeom prst="down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0</xdr:col>
      <xdr:colOff>2276475</xdr:colOff>
      <xdr:row>0</xdr:row>
      <xdr:rowOff>552380</xdr:rowOff>
    </xdr:to>
    <xdr:pic>
      <xdr:nvPicPr>
        <xdr:cNvPr id="12" name="Picture 11">
          <a:hlinkClick xmlns:r="http://schemas.openxmlformats.org/officeDocument/2006/relationships" r:id="rId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2"/>
        <a:stretch>
          <a:fillRect/>
        </a:stretch>
      </xdr:blipFill>
      <xdr:spPr>
        <a:xfrm>
          <a:off x="0" y="0"/>
          <a:ext cx="2276475" cy="552380"/>
        </a:xfrm>
        <a:prstGeom prst="rect">
          <a:avLst/>
        </a:prstGeom>
      </xdr:spPr>
    </xdr:pic>
    <xdr:clientData/>
  </xdr:twoCellAnchor>
  <xdr:twoCellAnchor>
    <xdr:from>
      <xdr:col>0</xdr:col>
      <xdr:colOff>114300</xdr:colOff>
      <xdr:row>19</xdr:row>
      <xdr:rowOff>114300</xdr:rowOff>
    </xdr:from>
    <xdr:to>
      <xdr:col>1</xdr:col>
      <xdr:colOff>1562100</xdr:colOff>
      <xdr:row>22</xdr:row>
      <xdr:rowOff>0</xdr:rowOff>
    </xdr:to>
    <xdr:sp macro="" textlink="">
      <xdr:nvSpPr>
        <xdr:cNvPr id="13" name="Text Box 1">
          <a:extLst>
            <a:ext uri="{FF2B5EF4-FFF2-40B4-BE49-F238E27FC236}">
              <a16:creationId xmlns:a16="http://schemas.microsoft.com/office/drawing/2014/main" id="{00000000-0008-0000-0000-00000D000000}"/>
            </a:ext>
          </a:extLst>
        </xdr:cNvPr>
        <xdr:cNvSpPr txBox="1">
          <a:spLocks noChangeArrowheads="1"/>
        </xdr:cNvSpPr>
      </xdr:nvSpPr>
      <xdr:spPr bwMode="auto">
        <a:xfrm>
          <a:off x="114300" y="3914775"/>
          <a:ext cx="12144375" cy="457200"/>
        </a:xfrm>
        <a:prstGeom prst="rect">
          <a:avLst/>
        </a:prstGeom>
        <a:solidFill>
          <a:srgbClr val="FFFFFF"/>
        </a:solidFill>
        <a:ln w="9525">
          <a:solidFill>
            <a:srgbClr val="000000"/>
          </a:solidFill>
          <a:miter lim="800000"/>
          <a:headEnd/>
          <a:tailEnd/>
        </a:ln>
      </xdr:spPr>
      <xdr:txBody>
        <a:bodyPr vertOverflow="clip" wrap="square" lIns="27432" tIns="22860" rIns="0" bIns="0" anchor="ctr" upright="1"/>
        <a:lstStyle/>
        <a:p>
          <a:pPr algn="l" rtl="0">
            <a:defRPr sz="1000"/>
          </a:pPr>
          <a:r>
            <a:rPr lang="en-US" sz="1200" b="0" i="0" u="none" strike="noStrike" baseline="0">
              <a:solidFill>
                <a:srgbClr val="FF0000"/>
              </a:solidFill>
              <a:latin typeface="Times New Roman"/>
              <a:cs typeface="Times New Roman"/>
            </a:rPr>
            <a:t>Disclaimer:“PMI®”, “PMBOK®”, “PMP®” are registered marks of the Project Management Institute, Inc.</a:t>
          </a:r>
        </a:p>
        <a:p>
          <a:pPr algn="l" rtl="0">
            <a:defRPr sz="1000"/>
          </a:pPr>
          <a:r>
            <a:rPr lang="en-US" sz="1200" b="0" i="0" u="none" strike="noStrike" baseline="0">
              <a:solidFill>
                <a:srgbClr val="FF0000"/>
              </a:solidFill>
              <a:latin typeface="Times New Roman"/>
              <a:cs typeface="Times New Roman"/>
            </a:rPr>
            <a:t>Contents of this spreadsheet are protected under Copyrights Law  ©JayantKodwani.com</a:t>
          </a:r>
        </a:p>
      </xdr:txBody>
    </xdr:sp>
    <xdr:clientData/>
  </xdr:twoCellAnchor>
  <xdr:twoCellAnchor editAs="oneCell">
    <xdr:from>
      <xdr:col>0</xdr:col>
      <xdr:colOff>8152825</xdr:colOff>
      <xdr:row>2</xdr:row>
      <xdr:rowOff>91227</xdr:rowOff>
    </xdr:from>
    <xdr:to>
      <xdr:col>1</xdr:col>
      <xdr:colOff>1371600</xdr:colOff>
      <xdr:row>11</xdr:row>
      <xdr:rowOff>29371</xdr:rowOff>
    </xdr:to>
    <xdr:pic>
      <xdr:nvPicPr>
        <xdr:cNvPr id="15" name="Picture 14" descr="https://i1.wp.com/jayantkodwani.com/wp-content/uploads/2018/02/PMP-ITTO-Process-Chart-PMBOK6.jpg?resize=1250%2C398&amp;ssl=1">
          <a:hlinkClick xmlns:r="http://schemas.openxmlformats.org/officeDocument/2006/relationships" r:id="rId3"/>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8152825" y="653202"/>
          <a:ext cx="3915350" cy="16526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8124826</xdr:colOff>
      <xdr:row>11</xdr:row>
      <xdr:rowOff>107078</xdr:rowOff>
    </xdr:from>
    <xdr:to>
      <xdr:col>1</xdr:col>
      <xdr:colOff>1352551</xdr:colOff>
      <xdr:row>19</xdr:row>
      <xdr:rowOff>53927</xdr:rowOff>
    </xdr:to>
    <xdr:pic>
      <xdr:nvPicPr>
        <xdr:cNvPr id="18" name="Picture 17" descr="https://i2.wp.com/jayantkodwani.com/wp-content/uploads/2017/12/HOW-TO-PREPARE-2.jpg?resize=1250%2C600&amp;ssl=1">
          <a:hlinkClick xmlns:r="http://schemas.openxmlformats.org/officeDocument/2006/relationships" r:id="rId5"/>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8124826" y="2383553"/>
          <a:ext cx="3924300" cy="14708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4791075</xdr:colOff>
          <xdr:row>0</xdr:row>
          <xdr:rowOff>0</xdr:rowOff>
        </xdr:from>
        <xdr:to>
          <xdr:col>3</xdr:col>
          <xdr:colOff>0</xdr:colOff>
          <xdr:row>0</xdr:row>
          <xdr:rowOff>561975</xdr:rowOff>
        </xdr:to>
        <xdr:sp macro="" textlink="">
          <xdr:nvSpPr>
            <xdr:cNvPr id="212993" name="CommandButton1" hidden="1">
              <a:extLst>
                <a:ext uri="{63B3BB69-23CF-44E3-9099-C40C66FF867C}">
                  <a14:compatExt spid="_x0000_s212993"/>
                </a:ext>
                <a:ext uri="{FF2B5EF4-FFF2-40B4-BE49-F238E27FC236}">
                  <a16:creationId xmlns:a16="http://schemas.microsoft.com/office/drawing/2014/main" id="{00000000-0008-0000-0100-0000014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2524125</xdr:colOff>
      <xdr:row>0</xdr:row>
      <xdr:rowOff>0</xdr:rowOff>
    </xdr:from>
    <xdr:to>
      <xdr:col>2</xdr:col>
      <xdr:colOff>4800600</xdr:colOff>
      <xdr:row>0</xdr:row>
      <xdr:rowOff>552380</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391400" y="0"/>
          <a:ext cx="2276475" cy="55238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57149</xdr:colOff>
      <xdr:row>0</xdr:row>
      <xdr:rowOff>371475</xdr:rowOff>
    </xdr:from>
    <xdr:to>
      <xdr:col>7</xdr:col>
      <xdr:colOff>19049</xdr:colOff>
      <xdr:row>7</xdr:row>
      <xdr:rowOff>142875</xdr:rowOff>
    </xdr:to>
    <xdr:sp macro="" textlink="">
      <xdr:nvSpPr>
        <xdr:cNvPr id="2" name="Arrow: Left 1">
          <a:extLst>
            <a:ext uri="{FF2B5EF4-FFF2-40B4-BE49-F238E27FC236}">
              <a16:creationId xmlns:a16="http://schemas.microsoft.com/office/drawing/2014/main" id="{00000000-0008-0000-0200-000002000000}"/>
            </a:ext>
          </a:extLst>
        </xdr:cNvPr>
        <xdr:cNvSpPr/>
      </xdr:nvSpPr>
      <xdr:spPr>
        <a:xfrm>
          <a:off x="8562974" y="371475"/>
          <a:ext cx="3209925" cy="147637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Enter % of work complete, planned value, AC</a:t>
          </a:r>
          <a:r>
            <a:rPr lang="en-US" sz="1100" baseline="0"/>
            <a:t> and </a:t>
          </a:r>
          <a:r>
            <a:rPr lang="en-US" sz="1100"/>
            <a:t>BAC.</a:t>
          </a:r>
          <a:r>
            <a:rPr lang="en-US" sz="1100" baseline="0"/>
            <a:t> Rest of the metrics will be calculataed accordingly.</a:t>
          </a:r>
        </a:p>
        <a:p>
          <a:pPr algn="l"/>
          <a:endParaRPr lang="en-US" sz="1100" baseline="0"/>
        </a:p>
        <a:p>
          <a:pPr algn="l"/>
          <a:endParaRPr lang="en-US" sz="1100"/>
        </a:p>
      </xdr:txBody>
    </xdr:sp>
    <xdr:clientData/>
  </xdr:twoCellAnchor>
  <xdr:twoCellAnchor>
    <xdr:from>
      <xdr:col>6</xdr:col>
      <xdr:colOff>57150</xdr:colOff>
      <xdr:row>6</xdr:row>
      <xdr:rowOff>38100</xdr:rowOff>
    </xdr:from>
    <xdr:to>
      <xdr:col>7</xdr:col>
      <xdr:colOff>447675</xdr:colOff>
      <xdr:row>21</xdr:row>
      <xdr:rowOff>142875</xdr:rowOff>
    </xdr:to>
    <xdr:sp macro="" textlink="">
      <xdr:nvSpPr>
        <xdr:cNvPr id="3" name="Rectangle: Rounded Corners 2">
          <a:extLst>
            <a:ext uri="{FF2B5EF4-FFF2-40B4-BE49-F238E27FC236}">
              <a16:creationId xmlns:a16="http://schemas.microsoft.com/office/drawing/2014/main" id="{00000000-0008-0000-0200-000003000000}"/>
            </a:ext>
          </a:extLst>
        </xdr:cNvPr>
        <xdr:cNvSpPr/>
      </xdr:nvSpPr>
      <xdr:spPr>
        <a:xfrm>
          <a:off x="9639300" y="1257300"/>
          <a:ext cx="2562225" cy="29622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Carefully observe the  calculations of each metric. i.e. How CPI has been calculated by dividing Earned value EV by Actual cost AC</a:t>
          </a:r>
        </a:p>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28575</xdr:colOff>
          <xdr:row>0</xdr:row>
          <xdr:rowOff>0</xdr:rowOff>
        </xdr:from>
        <xdr:to>
          <xdr:col>6</xdr:col>
          <xdr:colOff>1647825</xdr:colOff>
          <xdr:row>1</xdr:row>
          <xdr:rowOff>9525</xdr:rowOff>
        </xdr:to>
        <xdr:sp macro="" textlink="">
          <xdr:nvSpPr>
            <xdr:cNvPr id="150529" name="CommandButton1" hidden="1">
              <a:extLst>
                <a:ext uri="{63B3BB69-23CF-44E3-9099-C40C66FF867C}">
                  <a14:compatExt spid="_x0000_s150529"/>
                </a:ext>
                <a:ext uri="{FF2B5EF4-FFF2-40B4-BE49-F238E27FC236}">
                  <a16:creationId xmlns:a16="http://schemas.microsoft.com/office/drawing/2014/main" id="{00000000-0008-0000-0200-0000014C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1847850</xdr:colOff>
      <xdr:row>0</xdr:row>
      <xdr:rowOff>0</xdr:rowOff>
    </xdr:from>
    <xdr:to>
      <xdr:col>1</xdr:col>
      <xdr:colOff>4124325</xdr:colOff>
      <xdr:row>0</xdr:row>
      <xdr:rowOff>552380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2152650" y="0"/>
          <a:ext cx="2276475" cy="55238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7477125</xdr:colOff>
          <xdr:row>6</xdr:row>
          <xdr:rowOff>9525</xdr:rowOff>
        </xdr:from>
        <xdr:to>
          <xdr:col>2</xdr:col>
          <xdr:colOff>9439275</xdr:colOff>
          <xdr:row>6</xdr:row>
          <xdr:rowOff>409575</xdr:rowOff>
        </xdr:to>
        <xdr:sp macro="" textlink="">
          <xdr:nvSpPr>
            <xdr:cNvPr id="225281" name="CommandButton1" hidden="1">
              <a:extLst>
                <a:ext uri="{63B3BB69-23CF-44E3-9099-C40C66FF867C}">
                  <a14:compatExt spid="_x0000_s225281"/>
                </a:ext>
                <a:ext uri="{FF2B5EF4-FFF2-40B4-BE49-F238E27FC236}">
                  <a16:creationId xmlns:a16="http://schemas.microsoft.com/office/drawing/2014/main" id="{00000000-0008-0000-0300-0000017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5838825</xdr:colOff>
          <xdr:row>11</xdr:row>
          <xdr:rowOff>161925</xdr:rowOff>
        </xdr:from>
        <xdr:to>
          <xdr:col>5</xdr:col>
          <xdr:colOff>7486650</xdr:colOff>
          <xdr:row>13</xdr:row>
          <xdr:rowOff>114300</xdr:rowOff>
        </xdr:to>
        <xdr:sp macro="" textlink="">
          <xdr:nvSpPr>
            <xdr:cNvPr id="21509" name="Check Box 5" hidden="1">
              <a:extLst>
                <a:ext uri="{63B3BB69-23CF-44E3-9099-C40C66FF867C}">
                  <a14:compatExt spid="_x0000_s21509"/>
                </a:ext>
                <a:ext uri="{FF2B5EF4-FFF2-40B4-BE49-F238E27FC236}">
                  <a16:creationId xmlns:a16="http://schemas.microsoft.com/office/drawing/2014/main" id="{00000000-0008-0000-0500-00000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twoCellAnchor editAs="oneCell">
    <xdr:from>
      <xdr:col>2</xdr:col>
      <xdr:colOff>76200</xdr:colOff>
      <xdr:row>0</xdr:row>
      <xdr:rowOff>0</xdr:rowOff>
    </xdr:from>
    <xdr:to>
      <xdr:col>5</xdr:col>
      <xdr:colOff>1104900</xdr:colOff>
      <xdr:row>1</xdr:row>
      <xdr:rowOff>9525</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6200" y="0"/>
          <a:ext cx="1857375" cy="5048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0401" name="Next_1" hidden="1">
              <a:extLst>
                <a:ext uri="{63B3BB69-23CF-44E3-9099-C40C66FF867C}">
                  <a14:compatExt spid="_x0000_s230401"/>
                </a:ext>
                <a:ext uri="{FF2B5EF4-FFF2-40B4-BE49-F238E27FC236}">
                  <a16:creationId xmlns:a16="http://schemas.microsoft.com/office/drawing/2014/main" id="{00000000-0008-0000-0600-000001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0402" name="Back_1" hidden="1">
              <a:extLst>
                <a:ext uri="{63B3BB69-23CF-44E3-9099-C40C66FF867C}">
                  <a14:compatExt spid="_x0000_s230402"/>
                </a:ext>
                <a:ext uri="{FF2B5EF4-FFF2-40B4-BE49-F238E27FC236}">
                  <a16:creationId xmlns:a16="http://schemas.microsoft.com/office/drawing/2014/main" id="{00000000-0008-0000-0600-000002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0403" name="Progress_Stat_1" hidden="1">
              <a:extLst>
                <a:ext uri="{63B3BB69-23CF-44E3-9099-C40C66FF867C}">
                  <a14:compatExt spid="_x0000_s230403"/>
                </a:ext>
                <a:ext uri="{FF2B5EF4-FFF2-40B4-BE49-F238E27FC236}">
                  <a16:creationId xmlns:a16="http://schemas.microsoft.com/office/drawing/2014/main" id="{00000000-0008-0000-0600-0000038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0404" name="Option Button 4" hidden="1">
              <a:extLst>
                <a:ext uri="{63B3BB69-23CF-44E3-9099-C40C66FF867C}">
                  <a14:compatExt spid="_x0000_s230404"/>
                </a:ext>
                <a:ext uri="{FF2B5EF4-FFF2-40B4-BE49-F238E27FC236}">
                  <a16:creationId xmlns:a16="http://schemas.microsoft.com/office/drawing/2014/main" id="{00000000-0008-0000-0600-0000048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0405" name="Option Button 5" hidden="1">
              <a:extLst>
                <a:ext uri="{63B3BB69-23CF-44E3-9099-C40C66FF867C}">
                  <a14:compatExt spid="_x0000_s230405"/>
                </a:ext>
                <a:ext uri="{FF2B5EF4-FFF2-40B4-BE49-F238E27FC236}">
                  <a16:creationId xmlns:a16="http://schemas.microsoft.com/office/drawing/2014/main" id="{00000000-0008-0000-0600-0000058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0406" name="Option Button 6" hidden="1">
              <a:extLst>
                <a:ext uri="{63B3BB69-23CF-44E3-9099-C40C66FF867C}">
                  <a14:compatExt spid="_x0000_s230406"/>
                </a:ext>
                <a:ext uri="{FF2B5EF4-FFF2-40B4-BE49-F238E27FC236}">
                  <a16:creationId xmlns:a16="http://schemas.microsoft.com/office/drawing/2014/main" id="{00000000-0008-0000-0600-0000068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0407" name="Option Button 7" hidden="1">
              <a:extLst>
                <a:ext uri="{63B3BB69-23CF-44E3-9099-C40C66FF867C}">
                  <a14:compatExt spid="_x0000_s230407"/>
                </a:ext>
                <a:ext uri="{FF2B5EF4-FFF2-40B4-BE49-F238E27FC236}">
                  <a16:creationId xmlns:a16="http://schemas.microsoft.com/office/drawing/2014/main" id="{00000000-0008-0000-0600-0000078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0408" name="Check Box 8" hidden="1">
              <a:extLst>
                <a:ext uri="{63B3BB69-23CF-44E3-9099-C40C66FF867C}">
                  <a14:compatExt spid="_x0000_s230408"/>
                </a:ext>
                <a:ext uri="{FF2B5EF4-FFF2-40B4-BE49-F238E27FC236}">
                  <a16:creationId xmlns:a16="http://schemas.microsoft.com/office/drawing/2014/main" id="{00000000-0008-0000-0600-0000088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1425" name="Next_1" hidden="1">
              <a:extLst>
                <a:ext uri="{63B3BB69-23CF-44E3-9099-C40C66FF867C}">
                  <a14:compatExt spid="_x0000_s231425"/>
                </a:ext>
                <a:ext uri="{FF2B5EF4-FFF2-40B4-BE49-F238E27FC236}">
                  <a16:creationId xmlns:a16="http://schemas.microsoft.com/office/drawing/2014/main" id="{00000000-0008-0000-0700-0000018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1426" name="Back_1" hidden="1">
              <a:extLst>
                <a:ext uri="{63B3BB69-23CF-44E3-9099-C40C66FF867C}">
                  <a14:compatExt spid="_x0000_s231426"/>
                </a:ext>
                <a:ext uri="{FF2B5EF4-FFF2-40B4-BE49-F238E27FC236}">
                  <a16:creationId xmlns:a16="http://schemas.microsoft.com/office/drawing/2014/main" id="{00000000-0008-0000-0700-0000028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1427" name="Progress_Stat_1" hidden="1">
              <a:extLst>
                <a:ext uri="{63B3BB69-23CF-44E3-9099-C40C66FF867C}">
                  <a14:compatExt spid="_x0000_s231427"/>
                </a:ext>
                <a:ext uri="{FF2B5EF4-FFF2-40B4-BE49-F238E27FC236}">
                  <a16:creationId xmlns:a16="http://schemas.microsoft.com/office/drawing/2014/main" id="{00000000-0008-0000-0700-0000038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1428" name="Option Button 4" hidden="1">
              <a:extLst>
                <a:ext uri="{63B3BB69-23CF-44E3-9099-C40C66FF867C}">
                  <a14:compatExt spid="_x0000_s231428"/>
                </a:ext>
                <a:ext uri="{FF2B5EF4-FFF2-40B4-BE49-F238E27FC236}">
                  <a16:creationId xmlns:a16="http://schemas.microsoft.com/office/drawing/2014/main" id="{00000000-0008-0000-0700-0000048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1429" name="Option Button 5" hidden="1">
              <a:extLst>
                <a:ext uri="{63B3BB69-23CF-44E3-9099-C40C66FF867C}">
                  <a14:compatExt spid="_x0000_s231429"/>
                </a:ext>
                <a:ext uri="{FF2B5EF4-FFF2-40B4-BE49-F238E27FC236}">
                  <a16:creationId xmlns:a16="http://schemas.microsoft.com/office/drawing/2014/main" id="{00000000-0008-0000-0700-0000058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1430" name="Option Button 6" hidden="1">
              <a:extLst>
                <a:ext uri="{63B3BB69-23CF-44E3-9099-C40C66FF867C}">
                  <a14:compatExt spid="_x0000_s231430"/>
                </a:ext>
                <a:ext uri="{FF2B5EF4-FFF2-40B4-BE49-F238E27FC236}">
                  <a16:creationId xmlns:a16="http://schemas.microsoft.com/office/drawing/2014/main" id="{00000000-0008-0000-0700-0000068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1431" name="Option Button 7" hidden="1">
              <a:extLst>
                <a:ext uri="{63B3BB69-23CF-44E3-9099-C40C66FF867C}">
                  <a14:compatExt spid="_x0000_s231431"/>
                </a:ext>
                <a:ext uri="{FF2B5EF4-FFF2-40B4-BE49-F238E27FC236}">
                  <a16:creationId xmlns:a16="http://schemas.microsoft.com/office/drawing/2014/main" id="{00000000-0008-0000-0700-0000078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1432" name="Check Box 8" hidden="1">
              <a:extLst>
                <a:ext uri="{63B3BB69-23CF-44E3-9099-C40C66FF867C}">
                  <a14:compatExt spid="_x0000_s231432"/>
                </a:ext>
                <a:ext uri="{FF2B5EF4-FFF2-40B4-BE49-F238E27FC236}">
                  <a16:creationId xmlns:a16="http://schemas.microsoft.com/office/drawing/2014/main" id="{00000000-0008-0000-0700-0000088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2449" name="Next_1" hidden="1">
              <a:extLst>
                <a:ext uri="{63B3BB69-23CF-44E3-9099-C40C66FF867C}">
                  <a14:compatExt spid="_x0000_s232449"/>
                </a:ext>
                <a:ext uri="{FF2B5EF4-FFF2-40B4-BE49-F238E27FC236}">
                  <a16:creationId xmlns:a16="http://schemas.microsoft.com/office/drawing/2014/main" id="{00000000-0008-0000-0800-000001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2450" name="Back_1" hidden="1">
              <a:extLst>
                <a:ext uri="{63B3BB69-23CF-44E3-9099-C40C66FF867C}">
                  <a14:compatExt spid="_x0000_s232450"/>
                </a:ext>
                <a:ext uri="{FF2B5EF4-FFF2-40B4-BE49-F238E27FC236}">
                  <a16:creationId xmlns:a16="http://schemas.microsoft.com/office/drawing/2014/main" id="{00000000-0008-0000-0800-000002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2451" name="Progress_Stat_1" hidden="1">
              <a:extLst>
                <a:ext uri="{63B3BB69-23CF-44E3-9099-C40C66FF867C}">
                  <a14:compatExt spid="_x0000_s232451"/>
                </a:ext>
                <a:ext uri="{FF2B5EF4-FFF2-40B4-BE49-F238E27FC236}">
                  <a16:creationId xmlns:a16="http://schemas.microsoft.com/office/drawing/2014/main" id="{00000000-0008-0000-0800-0000038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2452" name="Option Button 4" hidden="1">
              <a:extLst>
                <a:ext uri="{63B3BB69-23CF-44E3-9099-C40C66FF867C}">
                  <a14:compatExt spid="_x0000_s232452"/>
                </a:ext>
                <a:ext uri="{FF2B5EF4-FFF2-40B4-BE49-F238E27FC236}">
                  <a16:creationId xmlns:a16="http://schemas.microsoft.com/office/drawing/2014/main" id="{00000000-0008-0000-0800-000004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2453" name="Option Button 5" hidden="1">
              <a:extLst>
                <a:ext uri="{63B3BB69-23CF-44E3-9099-C40C66FF867C}">
                  <a14:compatExt spid="_x0000_s232453"/>
                </a:ext>
                <a:ext uri="{FF2B5EF4-FFF2-40B4-BE49-F238E27FC236}">
                  <a16:creationId xmlns:a16="http://schemas.microsoft.com/office/drawing/2014/main" id="{00000000-0008-0000-0800-000005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2454" name="Option Button 6" hidden="1">
              <a:extLst>
                <a:ext uri="{63B3BB69-23CF-44E3-9099-C40C66FF867C}">
                  <a14:compatExt spid="_x0000_s232454"/>
                </a:ext>
                <a:ext uri="{FF2B5EF4-FFF2-40B4-BE49-F238E27FC236}">
                  <a16:creationId xmlns:a16="http://schemas.microsoft.com/office/drawing/2014/main" id="{00000000-0008-0000-0800-000006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2455" name="Option Button 7" hidden="1">
              <a:extLst>
                <a:ext uri="{63B3BB69-23CF-44E3-9099-C40C66FF867C}">
                  <a14:compatExt spid="_x0000_s232455"/>
                </a:ext>
                <a:ext uri="{FF2B5EF4-FFF2-40B4-BE49-F238E27FC236}">
                  <a16:creationId xmlns:a16="http://schemas.microsoft.com/office/drawing/2014/main" id="{00000000-0008-0000-0800-000007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2456" name="Check Box 8" hidden="1">
              <a:extLst>
                <a:ext uri="{63B3BB69-23CF-44E3-9099-C40C66FF867C}">
                  <a14:compatExt spid="_x0000_s232456"/>
                </a:ext>
                <a:ext uri="{FF2B5EF4-FFF2-40B4-BE49-F238E27FC236}">
                  <a16:creationId xmlns:a16="http://schemas.microsoft.com/office/drawing/2014/main" id="{00000000-0008-0000-0800-0000088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3473" name="Next_1" hidden="1">
              <a:extLst>
                <a:ext uri="{63B3BB69-23CF-44E3-9099-C40C66FF867C}">
                  <a14:compatExt spid="_x0000_s233473"/>
                </a:ext>
                <a:ext uri="{FF2B5EF4-FFF2-40B4-BE49-F238E27FC236}">
                  <a16:creationId xmlns:a16="http://schemas.microsoft.com/office/drawing/2014/main" id="{00000000-0008-0000-0900-0000019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3474" name="Back_1" hidden="1">
              <a:extLst>
                <a:ext uri="{63B3BB69-23CF-44E3-9099-C40C66FF867C}">
                  <a14:compatExt spid="_x0000_s233474"/>
                </a:ext>
                <a:ext uri="{FF2B5EF4-FFF2-40B4-BE49-F238E27FC236}">
                  <a16:creationId xmlns:a16="http://schemas.microsoft.com/office/drawing/2014/main" id="{00000000-0008-0000-0900-0000029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3475" name="Progress_Stat_1" hidden="1">
              <a:extLst>
                <a:ext uri="{63B3BB69-23CF-44E3-9099-C40C66FF867C}">
                  <a14:compatExt spid="_x0000_s233475"/>
                </a:ext>
                <a:ext uri="{FF2B5EF4-FFF2-40B4-BE49-F238E27FC236}">
                  <a16:creationId xmlns:a16="http://schemas.microsoft.com/office/drawing/2014/main" id="{00000000-0008-0000-0900-0000039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3476" name="Option Button 4" hidden="1">
              <a:extLst>
                <a:ext uri="{63B3BB69-23CF-44E3-9099-C40C66FF867C}">
                  <a14:compatExt spid="_x0000_s233476"/>
                </a:ext>
                <a:ext uri="{FF2B5EF4-FFF2-40B4-BE49-F238E27FC236}">
                  <a16:creationId xmlns:a16="http://schemas.microsoft.com/office/drawing/2014/main" id="{00000000-0008-0000-0900-0000049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3477" name="Option Button 5" hidden="1">
              <a:extLst>
                <a:ext uri="{63B3BB69-23CF-44E3-9099-C40C66FF867C}">
                  <a14:compatExt spid="_x0000_s233477"/>
                </a:ext>
                <a:ext uri="{FF2B5EF4-FFF2-40B4-BE49-F238E27FC236}">
                  <a16:creationId xmlns:a16="http://schemas.microsoft.com/office/drawing/2014/main" id="{00000000-0008-0000-0900-0000059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3478" name="Option Button 6" hidden="1">
              <a:extLst>
                <a:ext uri="{63B3BB69-23CF-44E3-9099-C40C66FF867C}">
                  <a14:compatExt spid="_x0000_s233478"/>
                </a:ext>
                <a:ext uri="{FF2B5EF4-FFF2-40B4-BE49-F238E27FC236}">
                  <a16:creationId xmlns:a16="http://schemas.microsoft.com/office/drawing/2014/main" id="{00000000-0008-0000-0900-0000069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3479" name="Option Button 7" hidden="1">
              <a:extLst>
                <a:ext uri="{63B3BB69-23CF-44E3-9099-C40C66FF867C}">
                  <a14:compatExt spid="_x0000_s233479"/>
                </a:ext>
                <a:ext uri="{FF2B5EF4-FFF2-40B4-BE49-F238E27FC236}">
                  <a16:creationId xmlns:a16="http://schemas.microsoft.com/office/drawing/2014/main" id="{00000000-0008-0000-0900-0000079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3480" name="Check Box 8" hidden="1">
              <a:extLst>
                <a:ext uri="{63B3BB69-23CF-44E3-9099-C40C66FF867C}">
                  <a14:compatExt spid="_x0000_s233480"/>
                </a:ext>
                <a:ext uri="{FF2B5EF4-FFF2-40B4-BE49-F238E27FC236}">
                  <a16:creationId xmlns:a16="http://schemas.microsoft.com/office/drawing/2014/main" id="{00000000-0008-0000-0900-0000089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4497" name="Next_1" hidden="1">
              <a:extLst>
                <a:ext uri="{63B3BB69-23CF-44E3-9099-C40C66FF867C}">
                  <a14:compatExt spid="_x0000_s234497"/>
                </a:ext>
                <a:ext uri="{FF2B5EF4-FFF2-40B4-BE49-F238E27FC236}">
                  <a16:creationId xmlns:a16="http://schemas.microsoft.com/office/drawing/2014/main" id="{00000000-0008-0000-0A00-0000019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4498" name="Back_1" hidden="1">
              <a:extLst>
                <a:ext uri="{63B3BB69-23CF-44E3-9099-C40C66FF867C}">
                  <a14:compatExt spid="_x0000_s234498"/>
                </a:ext>
                <a:ext uri="{FF2B5EF4-FFF2-40B4-BE49-F238E27FC236}">
                  <a16:creationId xmlns:a16="http://schemas.microsoft.com/office/drawing/2014/main" id="{00000000-0008-0000-0A00-0000029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4499" name="Progress_Stat_1" hidden="1">
              <a:extLst>
                <a:ext uri="{63B3BB69-23CF-44E3-9099-C40C66FF867C}">
                  <a14:compatExt spid="_x0000_s234499"/>
                </a:ext>
                <a:ext uri="{FF2B5EF4-FFF2-40B4-BE49-F238E27FC236}">
                  <a16:creationId xmlns:a16="http://schemas.microsoft.com/office/drawing/2014/main" id="{00000000-0008-0000-0A00-0000039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4500" name="Option Button 4" hidden="1">
              <a:extLst>
                <a:ext uri="{63B3BB69-23CF-44E3-9099-C40C66FF867C}">
                  <a14:compatExt spid="_x0000_s234500"/>
                </a:ext>
                <a:ext uri="{FF2B5EF4-FFF2-40B4-BE49-F238E27FC236}">
                  <a16:creationId xmlns:a16="http://schemas.microsoft.com/office/drawing/2014/main" id="{00000000-0008-0000-0A00-000004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4501" name="Option Button 5" hidden="1">
              <a:extLst>
                <a:ext uri="{63B3BB69-23CF-44E3-9099-C40C66FF867C}">
                  <a14:compatExt spid="_x0000_s234501"/>
                </a:ext>
                <a:ext uri="{FF2B5EF4-FFF2-40B4-BE49-F238E27FC236}">
                  <a16:creationId xmlns:a16="http://schemas.microsoft.com/office/drawing/2014/main" id="{00000000-0008-0000-0A00-000005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4502" name="Option Button 6" hidden="1">
              <a:extLst>
                <a:ext uri="{63B3BB69-23CF-44E3-9099-C40C66FF867C}">
                  <a14:compatExt spid="_x0000_s234502"/>
                </a:ext>
                <a:ext uri="{FF2B5EF4-FFF2-40B4-BE49-F238E27FC236}">
                  <a16:creationId xmlns:a16="http://schemas.microsoft.com/office/drawing/2014/main" id="{00000000-0008-0000-0A00-000006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4503" name="Option Button 7" hidden="1">
              <a:extLst>
                <a:ext uri="{63B3BB69-23CF-44E3-9099-C40C66FF867C}">
                  <a14:compatExt spid="_x0000_s234503"/>
                </a:ext>
                <a:ext uri="{FF2B5EF4-FFF2-40B4-BE49-F238E27FC236}">
                  <a16:creationId xmlns:a16="http://schemas.microsoft.com/office/drawing/2014/main" id="{00000000-0008-0000-0A00-000007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4504" name="Check Box 8" hidden="1">
              <a:extLst>
                <a:ext uri="{63B3BB69-23CF-44E3-9099-C40C66FF867C}">
                  <a14:compatExt spid="_x0000_s234504"/>
                </a:ext>
                <a:ext uri="{FF2B5EF4-FFF2-40B4-BE49-F238E27FC236}">
                  <a16:creationId xmlns:a16="http://schemas.microsoft.com/office/drawing/2014/main" id="{00000000-0008-0000-0A00-0000089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5521" name="Next_1" hidden="1">
              <a:extLst>
                <a:ext uri="{63B3BB69-23CF-44E3-9099-C40C66FF867C}">
                  <a14:compatExt spid="_x0000_s235521"/>
                </a:ext>
                <a:ext uri="{FF2B5EF4-FFF2-40B4-BE49-F238E27FC236}">
                  <a16:creationId xmlns:a16="http://schemas.microsoft.com/office/drawing/2014/main" id="{00000000-0008-0000-0B00-0000019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5522" name="Back_1" hidden="1">
              <a:extLst>
                <a:ext uri="{63B3BB69-23CF-44E3-9099-C40C66FF867C}">
                  <a14:compatExt spid="_x0000_s235522"/>
                </a:ext>
                <a:ext uri="{FF2B5EF4-FFF2-40B4-BE49-F238E27FC236}">
                  <a16:creationId xmlns:a16="http://schemas.microsoft.com/office/drawing/2014/main" id="{00000000-0008-0000-0B00-0000029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5523" name="Progress_Stat_1" hidden="1">
              <a:extLst>
                <a:ext uri="{63B3BB69-23CF-44E3-9099-C40C66FF867C}">
                  <a14:compatExt spid="_x0000_s235523"/>
                </a:ext>
                <a:ext uri="{FF2B5EF4-FFF2-40B4-BE49-F238E27FC236}">
                  <a16:creationId xmlns:a16="http://schemas.microsoft.com/office/drawing/2014/main" id="{00000000-0008-0000-0B00-0000039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5524" name="Option Button 4" hidden="1">
              <a:extLst>
                <a:ext uri="{63B3BB69-23CF-44E3-9099-C40C66FF867C}">
                  <a14:compatExt spid="_x0000_s235524"/>
                </a:ext>
                <a:ext uri="{FF2B5EF4-FFF2-40B4-BE49-F238E27FC236}">
                  <a16:creationId xmlns:a16="http://schemas.microsoft.com/office/drawing/2014/main" id="{00000000-0008-0000-0B00-0000049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5525" name="Option Button 5" hidden="1">
              <a:extLst>
                <a:ext uri="{63B3BB69-23CF-44E3-9099-C40C66FF867C}">
                  <a14:compatExt spid="_x0000_s235525"/>
                </a:ext>
                <a:ext uri="{FF2B5EF4-FFF2-40B4-BE49-F238E27FC236}">
                  <a16:creationId xmlns:a16="http://schemas.microsoft.com/office/drawing/2014/main" id="{00000000-0008-0000-0B00-0000059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5526" name="Option Button 6" hidden="1">
              <a:extLst>
                <a:ext uri="{63B3BB69-23CF-44E3-9099-C40C66FF867C}">
                  <a14:compatExt spid="_x0000_s235526"/>
                </a:ext>
                <a:ext uri="{FF2B5EF4-FFF2-40B4-BE49-F238E27FC236}">
                  <a16:creationId xmlns:a16="http://schemas.microsoft.com/office/drawing/2014/main" id="{00000000-0008-0000-0B00-0000069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5527" name="Option Button 7" hidden="1">
              <a:extLst>
                <a:ext uri="{63B3BB69-23CF-44E3-9099-C40C66FF867C}">
                  <a14:compatExt spid="_x0000_s235527"/>
                </a:ext>
                <a:ext uri="{FF2B5EF4-FFF2-40B4-BE49-F238E27FC236}">
                  <a16:creationId xmlns:a16="http://schemas.microsoft.com/office/drawing/2014/main" id="{00000000-0008-0000-0B00-0000079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5528" name="Check Box 8" hidden="1">
              <a:extLst>
                <a:ext uri="{63B3BB69-23CF-44E3-9099-C40C66FF867C}">
                  <a14:compatExt spid="_x0000_s235528"/>
                </a:ext>
                <a:ext uri="{FF2B5EF4-FFF2-40B4-BE49-F238E27FC236}">
                  <a16:creationId xmlns:a16="http://schemas.microsoft.com/office/drawing/2014/main" id="{00000000-0008-0000-0B00-0000089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6545" name="Next_1" hidden="1">
              <a:extLst>
                <a:ext uri="{63B3BB69-23CF-44E3-9099-C40C66FF867C}">
                  <a14:compatExt spid="_x0000_s236545"/>
                </a:ext>
                <a:ext uri="{FF2B5EF4-FFF2-40B4-BE49-F238E27FC236}">
                  <a16:creationId xmlns:a16="http://schemas.microsoft.com/office/drawing/2014/main" id="{00000000-0008-0000-0C00-0000019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6546" name="Back_1" hidden="1">
              <a:extLst>
                <a:ext uri="{63B3BB69-23CF-44E3-9099-C40C66FF867C}">
                  <a14:compatExt spid="_x0000_s236546"/>
                </a:ext>
                <a:ext uri="{FF2B5EF4-FFF2-40B4-BE49-F238E27FC236}">
                  <a16:creationId xmlns:a16="http://schemas.microsoft.com/office/drawing/2014/main" id="{00000000-0008-0000-0C00-0000029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6547" name="Progress_Stat_1" hidden="1">
              <a:extLst>
                <a:ext uri="{63B3BB69-23CF-44E3-9099-C40C66FF867C}">
                  <a14:compatExt spid="_x0000_s236547"/>
                </a:ext>
                <a:ext uri="{FF2B5EF4-FFF2-40B4-BE49-F238E27FC236}">
                  <a16:creationId xmlns:a16="http://schemas.microsoft.com/office/drawing/2014/main" id="{00000000-0008-0000-0C00-0000039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6548" name="Option Button 4" hidden="1">
              <a:extLst>
                <a:ext uri="{63B3BB69-23CF-44E3-9099-C40C66FF867C}">
                  <a14:compatExt spid="_x0000_s236548"/>
                </a:ext>
                <a:ext uri="{FF2B5EF4-FFF2-40B4-BE49-F238E27FC236}">
                  <a16:creationId xmlns:a16="http://schemas.microsoft.com/office/drawing/2014/main" id="{00000000-0008-0000-0C00-0000049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6549" name="Option Button 5" hidden="1">
              <a:extLst>
                <a:ext uri="{63B3BB69-23CF-44E3-9099-C40C66FF867C}">
                  <a14:compatExt spid="_x0000_s236549"/>
                </a:ext>
                <a:ext uri="{FF2B5EF4-FFF2-40B4-BE49-F238E27FC236}">
                  <a16:creationId xmlns:a16="http://schemas.microsoft.com/office/drawing/2014/main" id="{00000000-0008-0000-0C00-0000059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6550" name="Option Button 6" hidden="1">
              <a:extLst>
                <a:ext uri="{63B3BB69-23CF-44E3-9099-C40C66FF867C}">
                  <a14:compatExt spid="_x0000_s236550"/>
                </a:ext>
                <a:ext uri="{FF2B5EF4-FFF2-40B4-BE49-F238E27FC236}">
                  <a16:creationId xmlns:a16="http://schemas.microsoft.com/office/drawing/2014/main" id="{00000000-0008-0000-0C00-0000069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6551" name="Option Button 7" hidden="1">
              <a:extLst>
                <a:ext uri="{63B3BB69-23CF-44E3-9099-C40C66FF867C}">
                  <a14:compatExt spid="_x0000_s236551"/>
                </a:ext>
                <a:ext uri="{FF2B5EF4-FFF2-40B4-BE49-F238E27FC236}">
                  <a16:creationId xmlns:a16="http://schemas.microsoft.com/office/drawing/2014/main" id="{00000000-0008-0000-0C00-0000079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6552" name="Check Box 8" hidden="1">
              <a:extLst>
                <a:ext uri="{63B3BB69-23CF-44E3-9099-C40C66FF867C}">
                  <a14:compatExt spid="_x0000_s236552"/>
                </a:ext>
                <a:ext uri="{FF2B5EF4-FFF2-40B4-BE49-F238E27FC236}">
                  <a16:creationId xmlns:a16="http://schemas.microsoft.com/office/drawing/2014/main" id="{00000000-0008-0000-0C00-0000089C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7569" name="Next_1" hidden="1">
              <a:extLst>
                <a:ext uri="{63B3BB69-23CF-44E3-9099-C40C66FF867C}">
                  <a14:compatExt spid="_x0000_s237569"/>
                </a:ext>
                <a:ext uri="{FF2B5EF4-FFF2-40B4-BE49-F238E27FC236}">
                  <a16:creationId xmlns:a16="http://schemas.microsoft.com/office/drawing/2014/main" id="{00000000-0008-0000-0D00-000001A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7570" name="Back_1" hidden="1">
              <a:extLst>
                <a:ext uri="{63B3BB69-23CF-44E3-9099-C40C66FF867C}">
                  <a14:compatExt spid="_x0000_s237570"/>
                </a:ext>
                <a:ext uri="{FF2B5EF4-FFF2-40B4-BE49-F238E27FC236}">
                  <a16:creationId xmlns:a16="http://schemas.microsoft.com/office/drawing/2014/main" id="{00000000-0008-0000-0D00-000002A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7571" name="Progress_Stat_1" hidden="1">
              <a:extLst>
                <a:ext uri="{63B3BB69-23CF-44E3-9099-C40C66FF867C}">
                  <a14:compatExt spid="_x0000_s237571"/>
                </a:ext>
                <a:ext uri="{FF2B5EF4-FFF2-40B4-BE49-F238E27FC236}">
                  <a16:creationId xmlns:a16="http://schemas.microsoft.com/office/drawing/2014/main" id="{00000000-0008-0000-0D00-000003A0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7572" name="Option Button 4" hidden="1">
              <a:extLst>
                <a:ext uri="{63B3BB69-23CF-44E3-9099-C40C66FF867C}">
                  <a14:compatExt spid="_x0000_s237572"/>
                </a:ext>
                <a:ext uri="{FF2B5EF4-FFF2-40B4-BE49-F238E27FC236}">
                  <a16:creationId xmlns:a16="http://schemas.microsoft.com/office/drawing/2014/main" id="{00000000-0008-0000-0D00-000004A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7573" name="Option Button 5" hidden="1">
              <a:extLst>
                <a:ext uri="{63B3BB69-23CF-44E3-9099-C40C66FF867C}">
                  <a14:compatExt spid="_x0000_s237573"/>
                </a:ext>
                <a:ext uri="{FF2B5EF4-FFF2-40B4-BE49-F238E27FC236}">
                  <a16:creationId xmlns:a16="http://schemas.microsoft.com/office/drawing/2014/main" id="{00000000-0008-0000-0D00-000005A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7574" name="Option Button 6" hidden="1">
              <a:extLst>
                <a:ext uri="{63B3BB69-23CF-44E3-9099-C40C66FF867C}">
                  <a14:compatExt spid="_x0000_s237574"/>
                </a:ext>
                <a:ext uri="{FF2B5EF4-FFF2-40B4-BE49-F238E27FC236}">
                  <a16:creationId xmlns:a16="http://schemas.microsoft.com/office/drawing/2014/main" id="{00000000-0008-0000-0D00-000006A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7575" name="Option Button 7" hidden="1">
              <a:extLst>
                <a:ext uri="{63B3BB69-23CF-44E3-9099-C40C66FF867C}">
                  <a14:compatExt spid="_x0000_s237575"/>
                </a:ext>
                <a:ext uri="{FF2B5EF4-FFF2-40B4-BE49-F238E27FC236}">
                  <a16:creationId xmlns:a16="http://schemas.microsoft.com/office/drawing/2014/main" id="{00000000-0008-0000-0D00-000007A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7576" name="Check Box 8" hidden="1">
              <a:extLst>
                <a:ext uri="{63B3BB69-23CF-44E3-9099-C40C66FF867C}">
                  <a14:compatExt spid="_x0000_s237576"/>
                </a:ext>
                <a:ext uri="{FF2B5EF4-FFF2-40B4-BE49-F238E27FC236}">
                  <a16:creationId xmlns:a16="http://schemas.microsoft.com/office/drawing/2014/main" id="{00000000-0008-0000-0D00-000008A0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8593" name="Next_1" hidden="1">
              <a:extLst>
                <a:ext uri="{63B3BB69-23CF-44E3-9099-C40C66FF867C}">
                  <a14:compatExt spid="_x0000_s238593"/>
                </a:ext>
                <a:ext uri="{FF2B5EF4-FFF2-40B4-BE49-F238E27FC236}">
                  <a16:creationId xmlns:a16="http://schemas.microsoft.com/office/drawing/2014/main" id="{00000000-0008-0000-0E00-000001A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8594" name="Back_1" hidden="1">
              <a:extLst>
                <a:ext uri="{63B3BB69-23CF-44E3-9099-C40C66FF867C}">
                  <a14:compatExt spid="_x0000_s238594"/>
                </a:ext>
                <a:ext uri="{FF2B5EF4-FFF2-40B4-BE49-F238E27FC236}">
                  <a16:creationId xmlns:a16="http://schemas.microsoft.com/office/drawing/2014/main" id="{00000000-0008-0000-0E00-000002A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8595" name="Progress_Stat_1" hidden="1">
              <a:extLst>
                <a:ext uri="{63B3BB69-23CF-44E3-9099-C40C66FF867C}">
                  <a14:compatExt spid="_x0000_s238595"/>
                </a:ext>
                <a:ext uri="{FF2B5EF4-FFF2-40B4-BE49-F238E27FC236}">
                  <a16:creationId xmlns:a16="http://schemas.microsoft.com/office/drawing/2014/main" id="{00000000-0008-0000-0E00-000003A4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8596" name="Option Button 4" hidden="1">
              <a:extLst>
                <a:ext uri="{63B3BB69-23CF-44E3-9099-C40C66FF867C}">
                  <a14:compatExt spid="_x0000_s238596"/>
                </a:ext>
                <a:ext uri="{FF2B5EF4-FFF2-40B4-BE49-F238E27FC236}">
                  <a16:creationId xmlns:a16="http://schemas.microsoft.com/office/drawing/2014/main" id="{00000000-0008-0000-0E00-000004A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8597" name="Option Button 5" hidden="1">
              <a:extLst>
                <a:ext uri="{63B3BB69-23CF-44E3-9099-C40C66FF867C}">
                  <a14:compatExt spid="_x0000_s238597"/>
                </a:ext>
                <a:ext uri="{FF2B5EF4-FFF2-40B4-BE49-F238E27FC236}">
                  <a16:creationId xmlns:a16="http://schemas.microsoft.com/office/drawing/2014/main" id="{00000000-0008-0000-0E00-000005A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8598" name="Option Button 6" hidden="1">
              <a:extLst>
                <a:ext uri="{63B3BB69-23CF-44E3-9099-C40C66FF867C}">
                  <a14:compatExt spid="_x0000_s238598"/>
                </a:ext>
                <a:ext uri="{FF2B5EF4-FFF2-40B4-BE49-F238E27FC236}">
                  <a16:creationId xmlns:a16="http://schemas.microsoft.com/office/drawing/2014/main" id="{00000000-0008-0000-0E00-000006A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8599" name="Option Button 7" hidden="1">
              <a:extLst>
                <a:ext uri="{63B3BB69-23CF-44E3-9099-C40C66FF867C}">
                  <a14:compatExt spid="_x0000_s238599"/>
                </a:ext>
                <a:ext uri="{FF2B5EF4-FFF2-40B4-BE49-F238E27FC236}">
                  <a16:creationId xmlns:a16="http://schemas.microsoft.com/office/drawing/2014/main" id="{00000000-0008-0000-0E00-000007A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8600" name="Check Box 8" hidden="1">
              <a:extLst>
                <a:ext uri="{63B3BB69-23CF-44E3-9099-C40C66FF867C}">
                  <a14:compatExt spid="_x0000_s238600"/>
                </a:ext>
                <a:ext uri="{FF2B5EF4-FFF2-40B4-BE49-F238E27FC236}">
                  <a16:creationId xmlns:a16="http://schemas.microsoft.com/office/drawing/2014/main" id="{00000000-0008-0000-0E00-000008A4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6791325</xdr:colOff>
          <xdr:row>12</xdr:row>
          <xdr:rowOff>47625</xdr:rowOff>
        </xdr:from>
        <xdr:to>
          <xdr:col>5</xdr:col>
          <xdr:colOff>8696325</xdr:colOff>
          <xdr:row>14</xdr:row>
          <xdr:rowOff>171450</xdr:rowOff>
        </xdr:to>
        <xdr:sp macro="" textlink="">
          <xdr:nvSpPr>
            <xdr:cNvPr id="239617" name="Next_1" hidden="1">
              <a:extLst>
                <a:ext uri="{63B3BB69-23CF-44E3-9099-C40C66FF867C}">
                  <a14:compatExt spid="_x0000_s239617"/>
                </a:ext>
                <a:ext uri="{FF2B5EF4-FFF2-40B4-BE49-F238E27FC236}">
                  <a16:creationId xmlns:a16="http://schemas.microsoft.com/office/drawing/2014/main" id="{00000000-0008-0000-0F00-000001A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438150</xdr:colOff>
          <xdr:row>12</xdr:row>
          <xdr:rowOff>47625</xdr:rowOff>
        </xdr:from>
        <xdr:to>
          <xdr:col>5</xdr:col>
          <xdr:colOff>2343150</xdr:colOff>
          <xdr:row>14</xdr:row>
          <xdr:rowOff>171450</xdr:rowOff>
        </xdr:to>
        <xdr:sp macro="" textlink="">
          <xdr:nvSpPr>
            <xdr:cNvPr id="239618" name="Back_1" hidden="1">
              <a:extLst>
                <a:ext uri="{63B3BB69-23CF-44E3-9099-C40C66FF867C}">
                  <a14:compatExt spid="_x0000_s239618"/>
                </a:ext>
                <a:ext uri="{FF2B5EF4-FFF2-40B4-BE49-F238E27FC236}">
                  <a16:creationId xmlns:a16="http://schemas.microsoft.com/office/drawing/2014/main" id="{00000000-0008-0000-0F00-000002A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2981325</xdr:colOff>
          <xdr:row>12</xdr:row>
          <xdr:rowOff>47625</xdr:rowOff>
        </xdr:from>
        <xdr:to>
          <xdr:col>5</xdr:col>
          <xdr:colOff>4886325</xdr:colOff>
          <xdr:row>14</xdr:row>
          <xdr:rowOff>171450</xdr:rowOff>
        </xdr:to>
        <xdr:sp macro="" textlink="">
          <xdr:nvSpPr>
            <xdr:cNvPr id="239619" name="Progress_Stat_1" hidden="1">
              <a:extLst>
                <a:ext uri="{63B3BB69-23CF-44E3-9099-C40C66FF867C}">
                  <a14:compatExt spid="_x0000_s239619"/>
                </a:ext>
                <a:ext uri="{FF2B5EF4-FFF2-40B4-BE49-F238E27FC236}">
                  <a16:creationId xmlns:a16="http://schemas.microsoft.com/office/drawing/2014/main" id="{00000000-0008-0000-0F00-000003A8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6</xdr:row>
          <xdr:rowOff>161925</xdr:rowOff>
        </xdr:from>
        <xdr:to>
          <xdr:col>6</xdr:col>
          <xdr:colOff>361950</xdr:colOff>
          <xdr:row>7</xdr:row>
          <xdr:rowOff>342900</xdr:rowOff>
        </xdr:to>
        <xdr:sp macro="" textlink="">
          <xdr:nvSpPr>
            <xdr:cNvPr id="239620" name="Option Button 4" hidden="1">
              <a:extLst>
                <a:ext uri="{63B3BB69-23CF-44E3-9099-C40C66FF867C}">
                  <a14:compatExt spid="_x0000_s239620"/>
                </a:ext>
                <a:ext uri="{FF2B5EF4-FFF2-40B4-BE49-F238E27FC236}">
                  <a16:creationId xmlns:a16="http://schemas.microsoft.com/office/drawing/2014/main" id="{00000000-0008-0000-0F00-000004A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7</xdr:row>
          <xdr:rowOff>400050</xdr:rowOff>
        </xdr:from>
        <xdr:to>
          <xdr:col>6</xdr:col>
          <xdr:colOff>361950</xdr:colOff>
          <xdr:row>8</xdr:row>
          <xdr:rowOff>342900</xdr:rowOff>
        </xdr:to>
        <xdr:sp macro="" textlink="">
          <xdr:nvSpPr>
            <xdr:cNvPr id="239621" name="Option Button 5" hidden="1">
              <a:extLst>
                <a:ext uri="{63B3BB69-23CF-44E3-9099-C40C66FF867C}">
                  <a14:compatExt spid="_x0000_s239621"/>
                </a:ext>
                <a:ext uri="{FF2B5EF4-FFF2-40B4-BE49-F238E27FC236}">
                  <a16:creationId xmlns:a16="http://schemas.microsoft.com/office/drawing/2014/main" id="{00000000-0008-0000-0F00-000005A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409575</xdr:rowOff>
        </xdr:from>
        <xdr:to>
          <xdr:col>6</xdr:col>
          <xdr:colOff>361950</xdr:colOff>
          <xdr:row>9</xdr:row>
          <xdr:rowOff>352425</xdr:rowOff>
        </xdr:to>
        <xdr:sp macro="" textlink="">
          <xdr:nvSpPr>
            <xdr:cNvPr id="239622" name="Option Button 6" hidden="1">
              <a:extLst>
                <a:ext uri="{63B3BB69-23CF-44E3-9099-C40C66FF867C}">
                  <a14:compatExt spid="_x0000_s239622"/>
                </a:ext>
                <a:ext uri="{FF2B5EF4-FFF2-40B4-BE49-F238E27FC236}">
                  <a16:creationId xmlns:a16="http://schemas.microsoft.com/office/drawing/2014/main" id="{00000000-0008-0000-0F00-000006A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9</xdr:row>
          <xdr:rowOff>419100</xdr:rowOff>
        </xdr:from>
        <xdr:to>
          <xdr:col>6</xdr:col>
          <xdr:colOff>361950</xdr:colOff>
          <xdr:row>10</xdr:row>
          <xdr:rowOff>361950</xdr:rowOff>
        </xdr:to>
        <xdr:sp macro="" textlink="">
          <xdr:nvSpPr>
            <xdr:cNvPr id="239623" name="Option Button 7" hidden="1">
              <a:extLst>
                <a:ext uri="{63B3BB69-23CF-44E3-9099-C40C66FF867C}">
                  <a14:compatExt spid="_x0000_s239623"/>
                </a:ext>
                <a:ext uri="{FF2B5EF4-FFF2-40B4-BE49-F238E27FC236}">
                  <a16:creationId xmlns:a16="http://schemas.microsoft.com/office/drawing/2014/main" id="{00000000-0008-0000-0F00-000007A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5267325</xdr:colOff>
          <xdr:row>12</xdr:row>
          <xdr:rowOff>47625</xdr:rowOff>
        </xdr:from>
        <xdr:to>
          <xdr:col>5</xdr:col>
          <xdr:colOff>6534150</xdr:colOff>
          <xdr:row>13</xdr:row>
          <xdr:rowOff>171450</xdr:rowOff>
        </xdr:to>
        <xdr:sp macro="" textlink="">
          <xdr:nvSpPr>
            <xdr:cNvPr id="239624" name="Check Box 8" hidden="1">
              <a:extLst>
                <a:ext uri="{63B3BB69-23CF-44E3-9099-C40C66FF867C}">
                  <a14:compatExt spid="_x0000_s239624"/>
                </a:ext>
                <a:ext uri="{FF2B5EF4-FFF2-40B4-BE49-F238E27FC236}">
                  <a16:creationId xmlns:a16="http://schemas.microsoft.com/office/drawing/2014/main" id="{00000000-0008-0000-0F00-000008A803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Mark for Review</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jakodw/Desktop/Maste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heet1"/>
      <sheetName val="Link"/>
      <sheetName val="DataGrid"/>
      <sheetName val="Concatenate"/>
      <sheetName val="Audience"/>
      <sheetName val="Customer GMED"/>
      <sheetName val="Partner GMED"/>
      <sheetName val="SG"/>
      <sheetName val="GSG Backup"/>
      <sheetName val="LM"/>
      <sheetName val="Rcodes"/>
      <sheetName val="MSX_Owner_Verify"/>
      <sheetName val="LM_V"/>
      <sheetName val="Field_BI"/>
      <sheetName val="ET_Tool"/>
      <sheetName val="Import"/>
      <sheetName val="ET_Link"/>
      <sheetName val="MEA_FAQ's"/>
      <sheetName val="MEA Country List"/>
      <sheetName val="Language_MEA"/>
      <sheetName val="Checked"/>
      <sheetName val="Create Email Table"/>
      <sheetName val="LTPS Calc"/>
      <sheetName val="FAQ2"/>
      <sheetName val="Template"/>
      <sheetName val="Sheet3"/>
      <sheetName val="Backu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5.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8.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image" Target="../media/image9.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10.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ctrlProp" Target="../ctrlProps/ctrlProp5.xml"/><Relationship Id="rId3" Type="http://schemas.openxmlformats.org/officeDocument/2006/relationships/vmlDrawing" Target="../drawings/vmlDrawing6.vml"/><Relationship Id="rId7" Type="http://schemas.openxmlformats.org/officeDocument/2006/relationships/image" Target="../media/image12.emf"/><Relationship Id="rId12" Type="http://schemas.openxmlformats.org/officeDocument/2006/relationships/ctrlProp" Target="../ctrlProps/ctrlProp4.xml"/><Relationship Id="rId2" Type="http://schemas.openxmlformats.org/officeDocument/2006/relationships/drawing" Target="../drawings/drawing6.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ctrlProp" Target="../ctrlProps/ctrlProp3.xml"/><Relationship Id="rId5" Type="http://schemas.openxmlformats.org/officeDocument/2006/relationships/image" Target="../media/image11.emf"/><Relationship Id="rId10" Type="http://schemas.openxmlformats.org/officeDocument/2006/relationships/ctrlProp" Target="../ctrlProps/ctrlProp2.xml"/><Relationship Id="rId4" Type="http://schemas.openxmlformats.org/officeDocument/2006/relationships/control" Target="../activeX/activeX8.xml"/><Relationship Id="rId9" Type="http://schemas.openxmlformats.org/officeDocument/2006/relationships/image" Target="../media/image13.emf"/><Relationship Id="rId1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3.xml"/><Relationship Id="rId13" Type="http://schemas.openxmlformats.org/officeDocument/2006/relationships/ctrlProp" Target="../ctrlProps/ctrlProp10.xml"/><Relationship Id="rId3" Type="http://schemas.openxmlformats.org/officeDocument/2006/relationships/vmlDrawing" Target="../drawings/vmlDrawing7.vml"/><Relationship Id="rId7" Type="http://schemas.openxmlformats.org/officeDocument/2006/relationships/image" Target="../media/image15.emf"/><Relationship Id="rId12" Type="http://schemas.openxmlformats.org/officeDocument/2006/relationships/ctrlProp" Target="../ctrlProps/ctrlProp9.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ntrol" Target="../activeX/activeX12.xml"/><Relationship Id="rId11" Type="http://schemas.openxmlformats.org/officeDocument/2006/relationships/ctrlProp" Target="../ctrlProps/ctrlProp8.xml"/><Relationship Id="rId5" Type="http://schemas.openxmlformats.org/officeDocument/2006/relationships/image" Target="../media/image14.emf"/><Relationship Id="rId10" Type="http://schemas.openxmlformats.org/officeDocument/2006/relationships/ctrlProp" Target="../ctrlProps/ctrlProp7.xml"/><Relationship Id="rId4" Type="http://schemas.openxmlformats.org/officeDocument/2006/relationships/control" Target="../activeX/activeX11.xml"/><Relationship Id="rId9" Type="http://schemas.openxmlformats.org/officeDocument/2006/relationships/image" Target="../media/image16.emf"/><Relationship Id="rId1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image" Target="../media/image18.emf"/><Relationship Id="rId12"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5.bin"/><Relationship Id="rId6" Type="http://schemas.openxmlformats.org/officeDocument/2006/relationships/control" Target="../activeX/activeX15.xml"/><Relationship Id="rId11" Type="http://schemas.openxmlformats.org/officeDocument/2006/relationships/ctrlProp" Target="../ctrlProps/ctrlProp13.xml"/><Relationship Id="rId5" Type="http://schemas.openxmlformats.org/officeDocument/2006/relationships/image" Target="../media/image17.emf"/><Relationship Id="rId10" Type="http://schemas.openxmlformats.org/officeDocument/2006/relationships/ctrlProp" Target="../ctrlProps/ctrlProp12.xml"/><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9.xml"/><Relationship Id="rId13" Type="http://schemas.openxmlformats.org/officeDocument/2006/relationships/ctrlProp" Target="../ctrlProps/ctrlProp20.xml"/><Relationship Id="rId3" Type="http://schemas.openxmlformats.org/officeDocument/2006/relationships/vmlDrawing" Target="../drawings/vmlDrawing9.vml"/><Relationship Id="rId7" Type="http://schemas.openxmlformats.org/officeDocument/2006/relationships/image" Target="../media/image21.emf"/><Relationship Id="rId12" Type="http://schemas.openxmlformats.org/officeDocument/2006/relationships/ctrlProp" Target="../ctrlProps/ctrlProp19.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ontrol" Target="../activeX/activeX18.xml"/><Relationship Id="rId11" Type="http://schemas.openxmlformats.org/officeDocument/2006/relationships/ctrlProp" Target="../ctrlProps/ctrlProp18.xml"/><Relationship Id="rId5" Type="http://schemas.openxmlformats.org/officeDocument/2006/relationships/image" Target="../media/image20.emf"/><Relationship Id="rId10" Type="http://schemas.openxmlformats.org/officeDocument/2006/relationships/ctrlProp" Target="../ctrlProps/ctrlProp17.xml"/><Relationship Id="rId4" Type="http://schemas.openxmlformats.org/officeDocument/2006/relationships/control" Target="../activeX/activeX17.xml"/><Relationship Id="rId9" Type="http://schemas.openxmlformats.org/officeDocument/2006/relationships/image" Target="../media/image22.emf"/><Relationship Id="rId14" Type="http://schemas.openxmlformats.org/officeDocument/2006/relationships/ctrlProp" Target="../ctrlProps/ctrlProp2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ctrlProp" Target="../ctrlProps/ctrlProp25.xml"/><Relationship Id="rId3" Type="http://schemas.openxmlformats.org/officeDocument/2006/relationships/vmlDrawing" Target="../drawings/vmlDrawing10.vml"/><Relationship Id="rId7" Type="http://schemas.openxmlformats.org/officeDocument/2006/relationships/image" Target="../media/image24.emf"/><Relationship Id="rId12" Type="http://schemas.openxmlformats.org/officeDocument/2006/relationships/ctrlProp" Target="../ctrlProps/ctrlProp24.xml"/><Relationship Id="rId2" Type="http://schemas.openxmlformats.org/officeDocument/2006/relationships/drawing" Target="../drawings/drawing10.xml"/><Relationship Id="rId1" Type="http://schemas.openxmlformats.org/officeDocument/2006/relationships/printerSettings" Target="../printerSettings/printerSettings7.bin"/><Relationship Id="rId6" Type="http://schemas.openxmlformats.org/officeDocument/2006/relationships/control" Target="../activeX/activeX21.xml"/><Relationship Id="rId11" Type="http://schemas.openxmlformats.org/officeDocument/2006/relationships/ctrlProp" Target="../ctrlProps/ctrlProp23.xml"/><Relationship Id="rId5" Type="http://schemas.openxmlformats.org/officeDocument/2006/relationships/image" Target="../media/image23.emf"/><Relationship Id="rId10" Type="http://schemas.openxmlformats.org/officeDocument/2006/relationships/ctrlProp" Target="../ctrlProps/ctrlProp22.xml"/><Relationship Id="rId4" Type="http://schemas.openxmlformats.org/officeDocument/2006/relationships/control" Target="../activeX/activeX20.xml"/><Relationship Id="rId9" Type="http://schemas.openxmlformats.org/officeDocument/2006/relationships/image" Target="../media/image25.emf"/><Relationship Id="rId1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ctrlProp" Target="../ctrlProps/ctrlProp30.xml"/><Relationship Id="rId3" Type="http://schemas.openxmlformats.org/officeDocument/2006/relationships/vmlDrawing" Target="../drawings/vmlDrawing11.vml"/><Relationship Id="rId7" Type="http://schemas.openxmlformats.org/officeDocument/2006/relationships/image" Target="../media/image27.emf"/><Relationship Id="rId12" Type="http://schemas.openxmlformats.org/officeDocument/2006/relationships/ctrlProp" Target="../ctrlProps/ctrlProp29.xml"/><Relationship Id="rId2" Type="http://schemas.openxmlformats.org/officeDocument/2006/relationships/drawing" Target="../drawings/drawing11.xml"/><Relationship Id="rId1" Type="http://schemas.openxmlformats.org/officeDocument/2006/relationships/printerSettings" Target="../printerSettings/printerSettings8.bin"/><Relationship Id="rId6" Type="http://schemas.openxmlformats.org/officeDocument/2006/relationships/control" Target="../activeX/activeX24.xml"/><Relationship Id="rId11" Type="http://schemas.openxmlformats.org/officeDocument/2006/relationships/ctrlProp" Target="../ctrlProps/ctrlProp28.xml"/><Relationship Id="rId5" Type="http://schemas.openxmlformats.org/officeDocument/2006/relationships/image" Target="../media/image26.emf"/><Relationship Id="rId10" Type="http://schemas.openxmlformats.org/officeDocument/2006/relationships/ctrlProp" Target="../ctrlProps/ctrlProp27.xml"/><Relationship Id="rId4" Type="http://schemas.openxmlformats.org/officeDocument/2006/relationships/control" Target="../activeX/activeX23.xml"/><Relationship Id="rId9" Type="http://schemas.openxmlformats.org/officeDocument/2006/relationships/image" Target="../media/image28.emf"/><Relationship Id="rId14" Type="http://schemas.openxmlformats.org/officeDocument/2006/relationships/ctrlProp" Target="../ctrlProps/ctrlProp31.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ctrlProp" Target="../ctrlProps/ctrlProp35.xml"/><Relationship Id="rId3" Type="http://schemas.openxmlformats.org/officeDocument/2006/relationships/vmlDrawing" Target="../drawings/vmlDrawing12.vml"/><Relationship Id="rId7" Type="http://schemas.openxmlformats.org/officeDocument/2006/relationships/image" Target="../media/image30.emf"/><Relationship Id="rId12" Type="http://schemas.openxmlformats.org/officeDocument/2006/relationships/ctrlProp" Target="../ctrlProps/ctrlProp34.xml"/><Relationship Id="rId2" Type="http://schemas.openxmlformats.org/officeDocument/2006/relationships/drawing" Target="../drawings/drawing12.xml"/><Relationship Id="rId1" Type="http://schemas.openxmlformats.org/officeDocument/2006/relationships/printerSettings" Target="../printerSettings/printerSettings9.bin"/><Relationship Id="rId6" Type="http://schemas.openxmlformats.org/officeDocument/2006/relationships/control" Target="../activeX/activeX27.xml"/><Relationship Id="rId11" Type="http://schemas.openxmlformats.org/officeDocument/2006/relationships/ctrlProp" Target="../ctrlProps/ctrlProp33.xml"/><Relationship Id="rId5" Type="http://schemas.openxmlformats.org/officeDocument/2006/relationships/image" Target="../media/image29.emf"/><Relationship Id="rId10" Type="http://schemas.openxmlformats.org/officeDocument/2006/relationships/ctrlProp" Target="../ctrlProps/ctrlProp32.xml"/><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trlProp" Target="../ctrlProps/ctrlProp36.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1.xml"/><Relationship Id="rId13" Type="http://schemas.openxmlformats.org/officeDocument/2006/relationships/ctrlProp" Target="../ctrlProps/ctrlProp40.xml"/><Relationship Id="rId3" Type="http://schemas.openxmlformats.org/officeDocument/2006/relationships/vmlDrawing" Target="../drawings/vmlDrawing13.vml"/><Relationship Id="rId7" Type="http://schemas.openxmlformats.org/officeDocument/2006/relationships/image" Target="../media/image33.emf"/><Relationship Id="rId12" Type="http://schemas.openxmlformats.org/officeDocument/2006/relationships/ctrlProp" Target="../ctrlProps/ctrlProp39.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ontrol" Target="../activeX/activeX30.xml"/><Relationship Id="rId11" Type="http://schemas.openxmlformats.org/officeDocument/2006/relationships/ctrlProp" Target="../ctrlProps/ctrlProp38.xml"/><Relationship Id="rId5" Type="http://schemas.openxmlformats.org/officeDocument/2006/relationships/image" Target="../media/image32.emf"/><Relationship Id="rId10" Type="http://schemas.openxmlformats.org/officeDocument/2006/relationships/ctrlProp" Target="../ctrlProps/ctrlProp37.xml"/><Relationship Id="rId4" Type="http://schemas.openxmlformats.org/officeDocument/2006/relationships/control" Target="../activeX/activeX29.xml"/><Relationship Id="rId9" Type="http://schemas.openxmlformats.org/officeDocument/2006/relationships/image" Target="../media/image34.emf"/><Relationship Id="rId14" Type="http://schemas.openxmlformats.org/officeDocument/2006/relationships/ctrlProp" Target="../ctrlProps/ctrlProp41.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34.xml"/><Relationship Id="rId13" Type="http://schemas.openxmlformats.org/officeDocument/2006/relationships/ctrlProp" Target="../ctrlProps/ctrlProp45.xml"/><Relationship Id="rId3" Type="http://schemas.openxmlformats.org/officeDocument/2006/relationships/vmlDrawing" Target="../drawings/vmlDrawing14.vml"/><Relationship Id="rId7" Type="http://schemas.openxmlformats.org/officeDocument/2006/relationships/image" Target="../media/image36.emf"/><Relationship Id="rId12" Type="http://schemas.openxmlformats.org/officeDocument/2006/relationships/ctrlProp" Target="../ctrlProps/ctrlProp44.x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ontrol" Target="../activeX/activeX33.xml"/><Relationship Id="rId11" Type="http://schemas.openxmlformats.org/officeDocument/2006/relationships/ctrlProp" Target="../ctrlProps/ctrlProp43.xml"/><Relationship Id="rId5" Type="http://schemas.openxmlformats.org/officeDocument/2006/relationships/image" Target="../media/image35.emf"/><Relationship Id="rId10" Type="http://schemas.openxmlformats.org/officeDocument/2006/relationships/ctrlProp" Target="../ctrlProps/ctrlProp42.xml"/><Relationship Id="rId4" Type="http://schemas.openxmlformats.org/officeDocument/2006/relationships/control" Target="../activeX/activeX32.xml"/><Relationship Id="rId9" Type="http://schemas.openxmlformats.org/officeDocument/2006/relationships/image" Target="../media/image37.emf"/><Relationship Id="rId14" Type="http://schemas.openxmlformats.org/officeDocument/2006/relationships/ctrlProp" Target="../ctrlProps/ctrlProp46.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ctrlProp" Target="../ctrlProps/ctrlProp50.xml"/><Relationship Id="rId3" Type="http://schemas.openxmlformats.org/officeDocument/2006/relationships/vmlDrawing" Target="../drawings/vmlDrawing15.vml"/><Relationship Id="rId7" Type="http://schemas.openxmlformats.org/officeDocument/2006/relationships/image" Target="../media/image39.emf"/><Relationship Id="rId12" Type="http://schemas.openxmlformats.org/officeDocument/2006/relationships/ctrlProp" Target="../ctrlProps/ctrlProp49.xml"/><Relationship Id="rId2" Type="http://schemas.openxmlformats.org/officeDocument/2006/relationships/drawing" Target="../drawings/drawing15.xml"/><Relationship Id="rId1" Type="http://schemas.openxmlformats.org/officeDocument/2006/relationships/printerSettings" Target="../printerSettings/printerSettings12.bin"/><Relationship Id="rId6" Type="http://schemas.openxmlformats.org/officeDocument/2006/relationships/control" Target="../activeX/activeX36.xml"/><Relationship Id="rId11" Type="http://schemas.openxmlformats.org/officeDocument/2006/relationships/ctrlProp" Target="../ctrlProps/ctrlProp48.xml"/><Relationship Id="rId5" Type="http://schemas.openxmlformats.org/officeDocument/2006/relationships/image" Target="../media/image38.emf"/><Relationship Id="rId10" Type="http://schemas.openxmlformats.org/officeDocument/2006/relationships/ctrlProp" Target="../ctrlProps/ctrlProp47.xml"/><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trlProp" Target="../ctrlProps/ctrlProp5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5DFC0-0FC1-4B83-827A-F36B3B994040}">
  <sheetPr codeName="Sheet3"/>
  <dimension ref="A1:B22"/>
  <sheetViews>
    <sheetView showGridLines="0" tabSelected="1" workbookViewId="0">
      <selection sqref="A1:B1"/>
    </sheetView>
  </sheetViews>
  <sheetFormatPr defaultColWidth="0" defaultRowHeight="15" zeroHeight="1" x14ac:dyDescent="0.25"/>
  <cols>
    <col min="1" max="1" width="160.42578125" customWidth="1"/>
    <col min="2" max="2" width="23.5703125" customWidth="1"/>
    <col min="3" max="3" width="9.140625" hidden="1" customWidth="1"/>
    <col min="4" max="16384" width="9.140625" hidden="1"/>
  </cols>
  <sheetData>
    <row r="1" spans="1:2" ht="44.25" customHeight="1" thickBot="1" x14ac:dyDescent="0.3">
      <c r="A1" s="73" t="s">
        <v>152</v>
      </c>
      <c r="B1" s="74"/>
    </row>
    <row r="2" spans="1:2" hidden="1" x14ac:dyDescent="0.25">
      <c r="B2" s="36"/>
    </row>
    <row r="3" spans="1:2" x14ac:dyDescent="0.25">
      <c r="A3" s="36"/>
      <c r="B3" s="36"/>
    </row>
    <row r="4" spans="1:2" x14ac:dyDescent="0.25">
      <c r="A4" s="36"/>
      <c r="B4" s="36"/>
    </row>
    <row r="5" spans="1:2" x14ac:dyDescent="0.25">
      <c r="A5" s="36"/>
      <c r="B5" s="36"/>
    </row>
    <row r="6" spans="1:2" x14ac:dyDescent="0.25">
      <c r="A6" s="36"/>
      <c r="B6" s="36"/>
    </row>
    <row r="7" spans="1:2" x14ac:dyDescent="0.25">
      <c r="A7" s="36"/>
      <c r="B7" s="36"/>
    </row>
    <row r="8" spans="1:2" x14ac:dyDescent="0.25">
      <c r="A8" s="36"/>
      <c r="B8" s="36"/>
    </row>
    <row r="9" spans="1:2" x14ac:dyDescent="0.25">
      <c r="A9" s="36"/>
      <c r="B9" s="36"/>
    </row>
    <row r="10" spans="1:2" x14ac:dyDescent="0.25">
      <c r="A10" s="36"/>
      <c r="B10" s="36"/>
    </row>
    <row r="11" spans="1:2" s="36" customFormat="1" x14ac:dyDescent="0.25"/>
    <row r="12" spans="1:2" x14ac:dyDescent="0.25">
      <c r="A12" s="36"/>
      <c r="B12" s="36"/>
    </row>
    <row r="13" spans="1:2" x14ac:dyDescent="0.25">
      <c r="A13" s="36"/>
      <c r="B13" s="36"/>
    </row>
    <row r="14" spans="1:2" x14ac:dyDescent="0.25">
      <c r="A14" s="36"/>
      <c r="B14" s="36"/>
    </row>
    <row r="15" spans="1:2" x14ac:dyDescent="0.25">
      <c r="A15" s="36"/>
      <c r="B15" s="36"/>
    </row>
    <row r="16" spans="1:2" x14ac:dyDescent="0.25">
      <c r="A16" s="36"/>
      <c r="B16" s="36"/>
    </row>
    <row r="17" spans="1:2" x14ac:dyDescent="0.25">
      <c r="A17" s="36"/>
      <c r="B17" s="36"/>
    </row>
    <row r="18" spans="1:2" x14ac:dyDescent="0.25">
      <c r="A18" s="36"/>
      <c r="B18" s="36"/>
    </row>
    <row r="19" spans="1:2" x14ac:dyDescent="0.25">
      <c r="A19" s="36"/>
      <c r="B19" s="36"/>
    </row>
    <row r="20" spans="1:2" x14ac:dyDescent="0.25">
      <c r="A20" s="36"/>
      <c r="B20" s="36"/>
    </row>
    <row r="21" spans="1:2" x14ac:dyDescent="0.25">
      <c r="A21" s="36"/>
      <c r="B21" s="36"/>
    </row>
    <row r="22" spans="1:2" x14ac:dyDescent="0.25">
      <c r="A22" s="36"/>
      <c r="B22" s="36"/>
    </row>
  </sheetData>
  <sheetProtection password="8E1A" sheet="1" objects="1" scenarios="1"/>
  <mergeCells count="1">
    <mergeCell ref="A1:B1"/>
  </mergeCells>
  <pageMargins left="0.7" right="0.7" top="0.75" bottom="0.75" header="0.3" footer="0.3"/>
  <drawing r:id="rId1"/>
  <legacyDrawing r:id="rId2"/>
  <controls>
    <mc:AlternateContent xmlns:mc="http://schemas.openxmlformats.org/markup-compatibility/2006">
      <mc:Choice Requires="x14">
        <control shapeId="149511" r:id="rId3" name="CommandButton7">
          <controlPr defaultSize="0" autoLine="0" autoPict="0" r:id="rId4">
            <anchor moveWithCells="1">
              <from>
                <xdr:col>0</xdr:col>
                <xdr:colOff>3562350</xdr:colOff>
                <xdr:row>16</xdr:row>
                <xdr:rowOff>28575</xdr:rowOff>
              </from>
              <to>
                <xdr:col>0</xdr:col>
                <xdr:colOff>7419975</xdr:colOff>
                <xdr:row>19</xdr:row>
                <xdr:rowOff>9525</xdr:rowOff>
              </to>
            </anchor>
          </controlPr>
        </control>
      </mc:Choice>
      <mc:Fallback>
        <control shapeId="149511" r:id="rId3" name="CommandButton7"/>
      </mc:Fallback>
    </mc:AlternateContent>
    <mc:AlternateContent xmlns:mc="http://schemas.openxmlformats.org/markup-compatibility/2006">
      <mc:Choice Requires="x14">
        <control shapeId="149510" r:id="rId5" name="CommandButton6">
          <controlPr defaultSize="0" autoLine="0" r:id="rId6">
            <anchor moveWithCells="1">
              <from>
                <xdr:col>0</xdr:col>
                <xdr:colOff>466725</xdr:colOff>
                <xdr:row>3</xdr:row>
                <xdr:rowOff>0</xdr:rowOff>
              </from>
              <to>
                <xdr:col>0</xdr:col>
                <xdr:colOff>2867025</xdr:colOff>
                <xdr:row>6</xdr:row>
                <xdr:rowOff>66675</xdr:rowOff>
              </to>
            </anchor>
          </controlPr>
        </control>
      </mc:Choice>
      <mc:Fallback>
        <control shapeId="149510" r:id="rId5" name="CommandButton6"/>
      </mc:Fallback>
    </mc:AlternateContent>
    <mc:AlternateContent xmlns:mc="http://schemas.openxmlformats.org/markup-compatibility/2006">
      <mc:Choice Requires="x14">
        <control shapeId="149509" r:id="rId7" name="CommandButton5">
          <controlPr defaultSize="0" autoLine="0" r:id="rId8">
            <anchor moveWithCells="1">
              <from>
                <xdr:col>0</xdr:col>
                <xdr:colOff>438150</xdr:colOff>
                <xdr:row>9</xdr:row>
                <xdr:rowOff>19050</xdr:rowOff>
              </from>
              <to>
                <xdr:col>0</xdr:col>
                <xdr:colOff>2847975</xdr:colOff>
                <xdr:row>12</xdr:row>
                <xdr:rowOff>133350</xdr:rowOff>
              </to>
            </anchor>
          </controlPr>
        </control>
      </mc:Choice>
      <mc:Fallback>
        <control shapeId="149509" r:id="rId7" name="CommandButton5"/>
      </mc:Fallback>
    </mc:AlternateContent>
    <mc:AlternateContent xmlns:mc="http://schemas.openxmlformats.org/markup-compatibility/2006">
      <mc:Choice Requires="x14">
        <control shapeId="149505" r:id="rId9" name="CommandButton1">
          <controlPr defaultSize="0" autoLine="0" r:id="rId10">
            <anchor>
              <from>
                <xdr:col>0</xdr:col>
                <xdr:colOff>409575</xdr:colOff>
                <xdr:row>15</xdr:row>
                <xdr:rowOff>9525</xdr:rowOff>
              </from>
              <to>
                <xdr:col>0</xdr:col>
                <xdr:colOff>2828925</xdr:colOff>
                <xdr:row>18</xdr:row>
                <xdr:rowOff>161925</xdr:rowOff>
              </to>
            </anchor>
          </controlPr>
        </control>
      </mc:Choice>
      <mc:Fallback>
        <control shapeId="149505" r:id="rId9"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A25CAC-D6E4-42E6-B99E-6664EE2E3380}">
  <sheetPr codeName="Sheet4"/>
  <dimension ref="A1:C19"/>
  <sheetViews>
    <sheetView showGridLines="0" workbookViewId="0"/>
  </sheetViews>
  <sheetFormatPr defaultRowHeight="15" x14ac:dyDescent="0.25"/>
  <cols>
    <col min="1" max="1" width="9.140625" style="32"/>
    <col min="2" max="2" width="63.85546875" style="32" bestFit="1" customWidth="1"/>
    <col min="3" max="3" width="99.28515625" style="51" customWidth="1"/>
  </cols>
  <sheetData>
    <row r="1" spans="1:3" ht="48" customHeight="1" x14ac:dyDescent="0.25">
      <c r="A1" s="34" t="s">
        <v>49</v>
      </c>
      <c r="B1" s="35" t="s">
        <v>50</v>
      </c>
      <c r="C1" s="50" t="s">
        <v>115</v>
      </c>
    </row>
    <row r="2" spans="1:3" ht="45" customHeight="1" x14ac:dyDescent="0.25">
      <c r="A2" s="63">
        <v>1</v>
      </c>
      <c r="B2" s="64" t="s">
        <v>54</v>
      </c>
      <c r="C2" s="65" t="s">
        <v>140</v>
      </c>
    </row>
    <row r="3" spans="1:3" ht="45" customHeight="1" x14ac:dyDescent="0.25">
      <c r="A3" s="63">
        <v>2</v>
      </c>
      <c r="B3" s="64" t="s">
        <v>57</v>
      </c>
      <c r="C3" s="65" t="s">
        <v>141</v>
      </c>
    </row>
    <row r="4" spans="1:3" ht="45" customHeight="1" x14ac:dyDescent="0.25">
      <c r="A4" s="63">
        <v>3</v>
      </c>
      <c r="B4" s="64" t="s">
        <v>60</v>
      </c>
      <c r="C4" s="65" t="s">
        <v>142</v>
      </c>
    </row>
    <row r="5" spans="1:3" ht="45" customHeight="1" x14ac:dyDescent="0.25">
      <c r="A5" s="63">
        <v>4</v>
      </c>
      <c r="B5" s="64" t="s">
        <v>62</v>
      </c>
      <c r="C5" s="65" t="s">
        <v>143</v>
      </c>
    </row>
    <row r="6" spans="1:3" ht="45" customHeight="1" x14ac:dyDescent="0.25">
      <c r="A6" s="63">
        <v>5</v>
      </c>
      <c r="B6" s="64" t="s">
        <v>64</v>
      </c>
      <c r="C6" s="65" t="s">
        <v>140</v>
      </c>
    </row>
    <row r="7" spans="1:3" ht="45" customHeight="1" x14ac:dyDescent="0.25">
      <c r="A7" s="63">
        <v>6</v>
      </c>
      <c r="B7" s="64" t="s">
        <v>67</v>
      </c>
      <c r="C7" s="65" t="s">
        <v>144</v>
      </c>
    </row>
    <row r="8" spans="1:3" ht="45" customHeight="1" x14ac:dyDescent="0.25">
      <c r="A8" s="63">
        <v>7</v>
      </c>
      <c r="B8" s="64" t="s">
        <v>70</v>
      </c>
      <c r="C8" s="65" t="s">
        <v>145</v>
      </c>
    </row>
    <row r="9" spans="1:3" ht="45" customHeight="1" x14ac:dyDescent="0.25">
      <c r="A9" s="63">
        <v>8</v>
      </c>
      <c r="B9" s="64" t="s">
        <v>73</v>
      </c>
      <c r="C9" s="65" t="s">
        <v>146</v>
      </c>
    </row>
    <row r="10" spans="1:3" ht="45" customHeight="1" x14ac:dyDescent="0.25">
      <c r="A10" s="63">
        <v>9</v>
      </c>
      <c r="B10" s="64" t="s">
        <v>76</v>
      </c>
      <c r="C10" s="65" t="s">
        <v>116</v>
      </c>
    </row>
    <row r="11" spans="1:3" ht="45" customHeight="1" x14ac:dyDescent="0.25">
      <c r="A11" s="63">
        <v>10</v>
      </c>
      <c r="B11" s="64" t="s">
        <v>79</v>
      </c>
      <c r="C11" s="65" t="s">
        <v>117</v>
      </c>
    </row>
    <row r="12" spans="1:3" ht="45" customHeight="1" x14ac:dyDescent="0.25">
      <c r="A12" s="63">
        <v>11</v>
      </c>
      <c r="B12" s="64" t="s">
        <v>82</v>
      </c>
      <c r="C12" s="65" t="s">
        <v>118</v>
      </c>
    </row>
    <row r="13" spans="1:3" ht="47.25" x14ac:dyDescent="0.25">
      <c r="A13" s="63">
        <v>12</v>
      </c>
      <c r="B13" s="64" t="s">
        <v>85</v>
      </c>
      <c r="C13" s="65" t="s">
        <v>119</v>
      </c>
    </row>
    <row r="14" spans="1:3" ht="45" customHeight="1" x14ac:dyDescent="0.25">
      <c r="A14" s="66">
        <v>13</v>
      </c>
      <c r="B14" s="67" t="s">
        <v>88</v>
      </c>
      <c r="C14" s="68" t="s">
        <v>147</v>
      </c>
    </row>
    <row r="15" spans="1:3" ht="45" customHeight="1" x14ac:dyDescent="0.25">
      <c r="A15" s="66">
        <v>14</v>
      </c>
      <c r="B15" s="67" t="s">
        <v>91</v>
      </c>
      <c r="C15" s="68" t="s">
        <v>148</v>
      </c>
    </row>
    <row r="16" spans="1:3" ht="47.25" x14ac:dyDescent="0.25">
      <c r="A16" s="66">
        <v>15</v>
      </c>
      <c r="B16" s="67" t="s">
        <v>94</v>
      </c>
      <c r="C16" s="68" t="s">
        <v>149</v>
      </c>
    </row>
    <row r="17" spans="1:3" ht="45" customHeight="1" x14ac:dyDescent="0.25">
      <c r="A17" s="69">
        <v>16</v>
      </c>
      <c r="B17" s="70" t="s">
        <v>97</v>
      </c>
      <c r="C17" s="71" t="s">
        <v>150</v>
      </c>
    </row>
    <row r="18" spans="1:3" ht="45" customHeight="1" x14ac:dyDescent="0.25">
      <c r="A18" s="69">
        <v>17</v>
      </c>
      <c r="B18" s="70" t="s">
        <v>100</v>
      </c>
      <c r="C18" s="71" t="s">
        <v>148</v>
      </c>
    </row>
    <row r="19" spans="1:3" ht="47.25" x14ac:dyDescent="0.25">
      <c r="A19" s="69">
        <v>18</v>
      </c>
      <c r="B19" s="70" t="s">
        <v>103</v>
      </c>
      <c r="C19" s="71" t="s">
        <v>151</v>
      </c>
    </row>
  </sheetData>
  <sheetProtection password="8E1A" sheet="1" objects="1" scenarios="1"/>
  <pageMargins left="0.7" right="0.7" top="0.75" bottom="0.75" header="0.3" footer="0.3"/>
  <drawing r:id="rId1"/>
  <legacyDrawing r:id="rId2"/>
  <controls>
    <mc:AlternateContent xmlns:mc="http://schemas.openxmlformats.org/markup-compatibility/2006">
      <mc:Choice Requires="x14">
        <control shapeId="212993" r:id="rId3" name="CommandButton1">
          <controlPr defaultSize="0" autoLine="0" r:id="rId4">
            <anchor>
              <from>
                <xdr:col>2</xdr:col>
                <xdr:colOff>4791075</xdr:colOff>
                <xdr:row>0</xdr:row>
                <xdr:rowOff>0</xdr:rowOff>
              </from>
              <to>
                <xdr:col>3</xdr:col>
                <xdr:colOff>0</xdr:colOff>
                <xdr:row>0</xdr:row>
                <xdr:rowOff>561975</xdr:rowOff>
              </to>
            </anchor>
          </controlPr>
        </control>
      </mc:Choice>
      <mc:Fallback>
        <control shapeId="212993" r:id="rId3"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5615B-97EF-4FB2-BE19-E8D9A9D61BD5}">
  <sheetPr codeName="Sheet11"/>
  <dimension ref="A1:H25"/>
  <sheetViews>
    <sheetView showGridLines="0" workbookViewId="0"/>
  </sheetViews>
  <sheetFormatPr defaultRowHeight="15" x14ac:dyDescent="0.25"/>
  <cols>
    <col min="1" max="1" width="4.5703125" style="1" customWidth="1"/>
    <col min="2" max="2" width="62.28515625" customWidth="1"/>
    <col min="3" max="3" width="12.42578125" bestFit="1" customWidth="1"/>
    <col min="4" max="4" width="30.7109375" bestFit="1" customWidth="1"/>
    <col min="5" max="5" width="17.5703125" style="1" customWidth="1"/>
    <col min="6" max="6" width="16.140625" style="46" customWidth="1"/>
    <col min="7" max="7" width="32.5703125" customWidth="1"/>
    <col min="8" max="8" width="9.28515625" bestFit="1" customWidth="1"/>
    <col min="12" max="12" width="48.28515625" customWidth="1"/>
  </cols>
  <sheetData>
    <row r="1" spans="1:8" ht="44.25" customHeight="1" x14ac:dyDescent="0.25">
      <c r="A1" s="34" t="s">
        <v>49</v>
      </c>
      <c r="B1" s="35" t="s">
        <v>50</v>
      </c>
      <c r="C1" s="35" t="s">
        <v>51</v>
      </c>
      <c r="D1" s="35" t="s">
        <v>52</v>
      </c>
      <c r="E1" s="34" t="s">
        <v>53</v>
      </c>
      <c r="F1" s="38" t="s">
        <v>120</v>
      </c>
    </row>
    <row r="2" spans="1:8" x14ac:dyDescent="0.25">
      <c r="A2" s="23">
        <v>1</v>
      </c>
      <c r="B2" s="24" t="s">
        <v>54</v>
      </c>
      <c r="C2" s="24" t="s">
        <v>55</v>
      </c>
      <c r="D2" s="24" t="s">
        <v>56</v>
      </c>
      <c r="E2" s="52">
        <v>0.35</v>
      </c>
      <c r="F2" s="39"/>
    </row>
    <row r="3" spans="1:8" x14ac:dyDescent="0.25">
      <c r="A3" s="23">
        <v>2</v>
      </c>
      <c r="B3" s="24" t="s">
        <v>57</v>
      </c>
      <c r="C3" s="24" t="s">
        <v>58</v>
      </c>
      <c r="D3" s="24" t="s">
        <v>59</v>
      </c>
      <c r="E3" s="52">
        <v>0.4</v>
      </c>
      <c r="F3" s="6"/>
    </row>
    <row r="4" spans="1:8" x14ac:dyDescent="0.25">
      <c r="A4" s="23">
        <v>3</v>
      </c>
      <c r="B4" s="24" t="s">
        <v>60</v>
      </c>
      <c r="C4" s="24" t="s">
        <v>61</v>
      </c>
      <c r="D4" s="24"/>
      <c r="E4" s="53">
        <v>425000</v>
      </c>
      <c r="F4" s="6"/>
    </row>
    <row r="5" spans="1:8" x14ac:dyDescent="0.25">
      <c r="A5" s="23">
        <v>4</v>
      </c>
      <c r="B5" s="24" t="s">
        <v>62</v>
      </c>
      <c r="C5" s="24" t="s">
        <v>63</v>
      </c>
      <c r="D5" s="24"/>
      <c r="E5" s="53">
        <v>850000</v>
      </c>
      <c r="F5" s="6"/>
    </row>
    <row r="6" spans="1:8" x14ac:dyDescent="0.25">
      <c r="A6" s="23"/>
      <c r="B6" s="24"/>
      <c r="C6" s="24"/>
      <c r="D6" s="24"/>
      <c r="E6" s="23"/>
      <c r="F6" s="6"/>
    </row>
    <row r="7" spans="1:8" x14ac:dyDescent="0.25">
      <c r="A7" s="23">
        <v>5</v>
      </c>
      <c r="B7" s="24" t="s">
        <v>64</v>
      </c>
      <c r="C7" s="24" t="s">
        <v>65</v>
      </c>
      <c r="D7" s="24" t="s">
        <v>66</v>
      </c>
      <c r="E7" s="54">
        <f>E2*E5</f>
        <v>297500</v>
      </c>
      <c r="F7" s="40"/>
    </row>
    <row r="8" spans="1:8" x14ac:dyDescent="0.25">
      <c r="A8" s="23">
        <v>6</v>
      </c>
      <c r="B8" s="24" t="s">
        <v>67</v>
      </c>
      <c r="C8" s="24" t="s">
        <v>68</v>
      </c>
      <c r="D8" s="24" t="s">
        <v>69</v>
      </c>
      <c r="E8" s="54">
        <f>E3*E5</f>
        <v>340000</v>
      </c>
      <c r="F8" s="40"/>
    </row>
    <row r="9" spans="1:8" x14ac:dyDescent="0.25">
      <c r="A9" s="23">
        <v>7</v>
      </c>
      <c r="B9" s="24" t="s">
        <v>70</v>
      </c>
      <c r="C9" s="24" t="s">
        <v>71</v>
      </c>
      <c r="D9" s="24" t="s">
        <v>72</v>
      </c>
      <c r="E9" s="54">
        <f>E7-E8</f>
        <v>-42500</v>
      </c>
      <c r="F9" s="40"/>
    </row>
    <row r="10" spans="1:8" x14ac:dyDescent="0.25">
      <c r="A10" s="23">
        <v>8</v>
      </c>
      <c r="B10" s="24" t="s">
        <v>73</v>
      </c>
      <c r="C10" s="24" t="s">
        <v>74</v>
      </c>
      <c r="D10" s="24" t="s">
        <v>75</v>
      </c>
      <c r="E10" s="54">
        <f>E7-E4</f>
        <v>-127500</v>
      </c>
      <c r="F10" s="40"/>
    </row>
    <row r="11" spans="1:8" x14ac:dyDescent="0.25">
      <c r="A11" s="23">
        <v>9</v>
      </c>
      <c r="B11" s="24" t="s">
        <v>76</v>
      </c>
      <c r="C11" s="24" t="s">
        <v>77</v>
      </c>
      <c r="D11" s="24" t="s">
        <v>78</v>
      </c>
      <c r="E11" s="55">
        <f>ROUND(E7/E4,3)</f>
        <v>0.7</v>
      </c>
      <c r="F11" s="40"/>
    </row>
    <row r="12" spans="1:8" x14ac:dyDescent="0.25">
      <c r="A12" s="23">
        <v>10</v>
      </c>
      <c r="B12" s="24" t="s">
        <v>79</v>
      </c>
      <c r="C12" s="24" t="s">
        <v>80</v>
      </c>
      <c r="D12" s="24" t="s">
        <v>81</v>
      </c>
      <c r="E12" s="54">
        <f>E7/E8</f>
        <v>0.875</v>
      </c>
      <c r="F12" s="40"/>
    </row>
    <row r="13" spans="1:8" x14ac:dyDescent="0.25">
      <c r="A13" s="23">
        <v>11</v>
      </c>
      <c r="B13" s="24" t="s">
        <v>82</v>
      </c>
      <c r="C13" s="24" t="s">
        <v>83</v>
      </c>
      <c r="D13" s="24" t="s">
        <v>84</v>
      </c>
      <c r="E13" s="54">
        <f>E5-E7</f>
        <v>552500</v>
      </c>
      <c r="F13" s="40"/>
    </row>
    <row r="14" spans="1:8" x14ac:dyDescent="0.25">
      <c r="A14" s="23">
        <v>12</v>
      </c>
      <c r="B14" s="24" t="s">
        <v>85</v>
      </c>
      <c r="C14" s="24" t="s">
        <v>86</v>
      </c>
      <c r="D14" s="24" t="s">
        <v>87</v>
      </c>
      <c r="E14" s="56">
        <f>1/E11</f>
        <v>1.4285714285714286</v>
      </c>
      <c r="F14" s="41"/>
      <c r="G14" s="25"/>
      <c r="H14" s="25"/>
    </row>
    <row r="15" spans="1:8" x14ac:dyDescent="0.25">
      <c r="A15" s="26">
        <v>13</v>
      </c>
      <c r="B15" s="27" t="s">
        <v>88</v>
      </c>
      <c r="C15" s="27" t="s">
        <v>89</v>
      </c>
      <c r="D15" s="27" t="s">
        <v>90</v>
      </c>
      <c r="E15" s="57">
        <f>E13/E11</f>
        <v>789285.71428571432</v>
      </c>
      <c r="F15" s="37"/>
      <c r="G15" s="25"/>
      <c r="H15" s="25"/>
    </row>
    <row r="16" spans="1:8" x14ac:dyDescent="0.25">
      <c r="A16" s="26">
        <v>14</v>
      </c>
      <c r="B16" s="27" t="s">
        <v>91</v>
      </c>
      <c r="C16" s="27" t="s">
        <v>92</v>
      </c>
      <c r="D16" s="27" t="s">
        <v>93</v>
      </c>
      <c r="E16" s="57">
        <f>E5/E11</f>
        <v>1214285.7142857143</v>
      </c>
      <c r="F16" s="37">
        <f>E15+E4</f>
        <v>1214285.7142857143</v>
      </c>
      <c r="H16" s="25"/>
    </row>
    <row r="17" spans="1:6" x14ac:dyDescent="0.25">
      <c r="A17" s="26">
        <v>15</v>
      </c>
      <c r="B17" s="27" t="s">
        <v>94</v>
      </c>
      <c r="C17" s="27" t="s">
        <v>95</v>
      </c>
      <c r="D17" s="27" t="s">
        <v>96</v>
      </c>
      <c r="E17" s="58">
        <f>E13/E15</f>
        <v>0.7</v>
      </c>
      <c r="F17" s="37"/>
    </row>
    <row r="18" spans="1:6" x14ac:dyDescent="0.25">
      <c r="A18" s="31">
        <v>16</v>
      </c>
      <c r="B18" s="28" t="s">
        <v>97</v>
      </c>
      <c r="C18" s="28" t="s">
        <v>98</v>
      </c>
      <c r="D18" s="28" t="s">
        <v>99</v>
      </c>
      <c r="E18" s="59">
        <f>E5-E4</f>
        <v>425000</v>
      </c>
      <c r="F18" s="42"/>
    </row>
    <row r="19" spans="1:6" x14ac:dyDescent="0.25">
      <c r="A19" s="31">
        <v>17</v>
      </c>
      <c r="B19" s="28" t="s">
        <v>100</v>
      </c>
      <c r="C19" s="28" t="s">
        <v>101</v>
      </c>
      <c r="D19" s="28" t="s">
        <v>102</v>
      </c>
      <c r="E19" s="60">
        <f>E4+E13</f>
        <v>977500</v>
      </c>
      <c r="F19" s="43"/>
    </row>
    <row r="20" spans="1:6" x14ac:dyDescent="0.25">
      <c r="A20" s="31">
        <v>18</v>
      </c>
      <c r="B20" s="28" t="s">
        <v>103</v>
      </c>
      <c r="C20" s="28" t="s">
        <v>104</v>
      </c>
      <c r="D20" s="28" t="s">
        <v>105</v>
      </c>
      <c r="E20" s="60">
        <f>E13/E18</f>
        <v>1.3</v>
      </c>
      <c r="F20" s="43"/>
    </row>
    <row r="21" spans="1:6" x14ac:dyDescent="0.25">
      <c r="A21" s="23">
        <v>19</v>
      </c>
      <c r="B21" s="29" t="s">
        <v>106</v>
      </c>
      <c r="C21" s="29" t="s">
        <v>107</v>
      </c>
      <c r="D21" s="24" t="s">
        <v>108</v>
      </c>
      <c r="E21" s="61">
        <f>E16-E19</f>
        <v>236785.71428571432</v>
      </c>
      <c r="F21" s="44"/>
    </row>
    <row r="22" spans="1:6" x14ac:dyDescent="0.25">
      <c r="A22" s="23">
        <v>20</v>
      </c>
      <c r="B22" s="29" t="s">
        <v>109</v>
      </c>
      <c r="C22" s="29" t="s">
        <v>110</v>
      </c>
      <c r="D22" s="24" t="s">
        <v>111</v>
      </c>
      <c r="E22" s="62">
        <f>E21/E16</f>
        <v>0.19500000000000003</v>
      </c>
      <c r="F22" s="44"/>
    </row>
    <row r="23" spans="1:6" x14ac:dyDescent="0.25">
      <c r="E23" s="30"/>
      <c r="F23" s="45"/>
    </row>
    <row r="24" spans="1:6" ht="24.95" customHeight="1" x14ac:dyDescent="0.25">
      <c r="B24" s="75" t="s">
        <v>112</v>
      </c>
      <c r="C24" s="76"/>
      <c r="D24" s="33" t="str">
        <f>IF(E11&lt;1,"Over Budget",IF(E11=1,"On Budget","Under Budget"))</f>
        <v>Over Budget</v>
      </c>
      <c r="E24" s="30"/>
      <c r="F24" s="45"/>
    </row>
    <row r="25" spans="1:6" ht="24.95" customHeight="1" x14ac:dyDescent="0.25">
      <c r="B25" s="75" t="s">
        <v>113</v>
      </c>
      <c r="C25" s="76"/>
      <c r="D25" s="33" t="str">
        <f>IF(E12&lt;1,"Behind Schedule",IF(E12=1,"On Schedule","Ahead of Schedule"))</f>
        <v>Behind Schedule</v>
      </c>
    </row>
  </sheetData>
  <sheetProtection password="8E1A" sheet="1" objects="1" scenarios="1"/>
  <mergeCells count="2">
    <mergeCell ref="B24:C24"/>
    <mergeCell ref="B25:C25"/>
  </mergeCells>
  <pageMargins left="0.7" right="0.7" top="0.75" bottom="0.75" header="0.3" footer="0.3"/>
  <pageSetup orientation="portrait" r:id="rId1"/>
  <ignoredErrors>
    <ignoredError sqref="E7:E22" unlockedFormula="1"/>
  </ignoredErrors>
  <drawing r:id="rId2"/>
  <legacyDrawing r:id="rId3"/>
  <controls>
    <mc:AlternateContent xmlns:mc="http://schemas.openxmlformats.org/markup-compatibility/2006">
      <mc:Choice Requires="x14">
        <control shapeId="150529" r:id="rId4" name="CommandButton1">
          <controlPr defaultSize="0" autoLine="0" r:id="rId5">
            <anchor moveWithCells="1">
              <from>
                <xdr:col>6</xdr:col>
                <xdr:colOff>28575</xdr:colOff>
                <xdr:row>0</xdr:row>
                <xdr:rowOff>0</xdr:rowOff>
              </from>
              <to>
                <xdr:col>6</xdr:col>
                <xdr:colOff>1647825</xdr:colOff>
                <xdr:row>1</xdr:row>
                <xdr:rowOff>9525</xdr:rowOff>
              </to>
            </anchor>
          </controlPr>
        </control>
      </mc:Choice>
      <mc:Fallback>
        <control shapeId="150529"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B0874-2FDC-463A-91E4-365A0C62FF3E}">
  <sheetPr codeName="Sheet1"/>
  <dimension ref="A1:L143"/>
  <sheetViews>
    <sheetView showGridLines="0" workbookViewId="0"/>
  </sheetViews>
  <sheetFormatPr defaultColWidth="0" defaultRowHeight="15" zeroHeight="1" x14ac:dyDescent="0.25"/>
  <cols>
    <col min="1" max="1" width="4.7109375" customWidth="1"/>
    <col min="2" max="2" width="20.140625" style="10" customWidth="1"/>
    <col min="3" max="3" width="147.5703125" style="20" customWidth="1"/>
    <col min="4" max="4" width="9.140625" customWidth="1"/>
    <col min="5" max="5" width="20" style="1" hidden="1" customWidth="1"/>
    <col min="6" max="6" width="15.42578125" style="1" hidden="1" customWidth="1"/>
    <col min="7" max="7" width="14.5703125" hidden="1" customWidth="1"/>
    <col min="8" max="9" width="9.140625" hidden="1" customWidth="1"/>
    <col min="10" max="11" width="9.140625" style="1" hidden="1" customWidth="1"/>
    <col min="12" max="12" width="0" style="1" hidden="1" customWidth="1"/>
    <col min="13" max="16384" width="9.140625" hidden="1"/>
  </cols>
  <sheetData>
    <row r="1" spans="2:12" ht="29.25" thickBot="1" x14ac:dyDescent="0.3">
      <c r="B1" s="73" t="s">
        <v>114</v>
      </c>
      <c r="C1" s="74"/>
    </row>
    <row r="2" spans="2:12" x14ac:dyDescent="0.25"/>
    <row r="3" spans="2:12" hidden="1" x14ac:dyDescent="0.25"/>
    <row r="4" spans="2:12" hidden="1" x14ac:dyDescent="0.25"/>
    <row r="5" spans="2:12" hidden="1" x14ac:dyDescent="0.25"/>
    <row r="6" spans="2:12" x14ac:dyDescent="0.25"/>
    <row r="7" spans="2:12" ht="33" customHeight="1" x14ac:dyDescent="0.25">
      <c r="B7" s="17" t="s">
        <v>45</v>
      </c>
      <c r="C7" s="19">
        <f ca="1">K11/J11</f>
        <v>0</v>
      </c>
    </row>
    <row r="8" spans="2:12" ht="29.25" customHeight="1" x14ac:dyDescent="0.25"/>
    <row r="9" spans="2:12" x14ac:dyDescent="0.25">
      <c r="B9" s="16" t="s">
        <v>39</v>
      </c>
      <c r="C9" s="21" t="s">
        <v>40</v>
      </c>
      <c r="E9" s="1" t="s">
        <v>42</v>
      </c>
      <c r="F9" s="1" t="s">
        <v>41</v>
      </c>
      <c r="G9" t="s">
        <v>43</v>
      </c>
      <c r="H9" t="s">
        <v>44</v>
      </c>
    </row>
    <row r="10" spans="2:12" x14ac:dyDescent="0.25"/>
    <row r="11" spans="2:12" ht="15" customHeight="1" x14ac:dyDescent="0.25">
      <c r="B11" s="12">
        <v>1</v>
      </c>
      <c r="C11" s="13" t="s">
        <v>0</v>
      </c>
      <c r="E11" s="1">
        <v>1</v>
      </c>
      <c r="F11" s="1">
        <f ca="1">INDIRECT(G11)</f>
        <v>0</v>
      </c>
      <c r="G11" s="1" t="str">
        <f>"'Question "&amp;B11&amp;"'!H6"</f>
        <v>'Question 1'!H6</v>
      </c>
      <c r="H11" s="1" t="b">
        <f ca="1">E11=F11</f>
        <v>0</v>
      </c>
      <c r="J11" s="1">
        <f ca="1">COUNTA(H10:H10000)</f>
        <v>10</v>
      </c>
      <c r="K11" s="1">
        <f ca="1">COUNTIF(H10:H100000,TRUE)</f>
        <v>0</v>
      </c>
      <c r="L11" s="8"/>
    </row>
    <row r="12" spans="2:12" x14ac:dyDescent="0.25"/>
    <row r="13" spans="2:12" x14ac:dyDescent="0.25">
      <c r="B13" s="15" t="s">
        <v>1</v>
      </c>
      <c r="C13" s="22" t="s">
        <v>2</v>
      </c>
    </row>
    <row r="14" spans="2:12" x14ac:dyDescent="0.25">
      <c r="B14" s="15" t="s">
        <v>3</v>
      </c>
      <c r="C14" s="22" t="s">
        <v>4</v>
      </c>
    </row>
    <row r="15" spans="2:12" x14ac:dyDescent="0.25">
      <c r="B15" s="15" t="s">
        <v>5</v>
      </c>
      <c r="C15" s="22" t="s">
        <v>6</v>
      </c>
    </row>
    <row r="16" spans="2:12" x14ac:dyDescent="0.25">
      <c r="B16" s="15" t="s">
        <v>7</v>
      </c>
      <c r="C16" s="22" t="s">
        <v>8</v>
      </c>
    </row>
    <row r="17" spans="2:8" x14ac:dyDescent="0.25"/>
    <row r="18" spans="2:8" ht="59.25" customHeight="1" x14ac:dyDescent="0.25">
      <c r="B18" s="18" t="s">
        <v>38</v>
      </c>
      <c r="C18" s="9" t="s">
        <v>48</v>
      </c>
    </row>
    <row r="19" spans="2:8" x14ac:dyDescent="0.25"/>
    <row r="20" spans="2:8" x14ac:dyDescent="0.25">
      <c r="B20" s="11"/>
    </row>
    <row r="21" spans="2:8" ht="60" customHeight="1" x14ac:dyDescent="0.25">
      <c r="B21" s="12">
        <v>2</v>
      </c>
      <c r="C21" s="13" t="s">
        <v>9</v>
      </c>
      <c r="E21" s="1">
        <v>3</v>
      </c>
      <c r="F21" s="1">
        <f ca="1">INDIRECT(G21)</f>
        <v>0</v>
      </c>
      <c r="G21" s="1" t="str">
        <f>"'Question "&amp;B21&amp;"'!H6"</f>
        <v>'Question 2'!H6</v>
      </c>
      <c r="H21" s="1" t="b">
        <f ca="1">E21=F21</f>
        <v>0</v>
      </c>
    </row>
    <row r="22" spans="2:8" x14ac:dyDescent="0.25"/>
    <row r="23" spans="2:8" x14ac:dyDescent="0.25">
      <c r="B23" s="15" t="s">
        <v>1</v>
      </c>
      <c r="C23" s="22" t="s">
        <v>25</v>
      </c>
    </row>
    <row r="24" spans="2:8" x14ac:dyDescent="0.25">
      <c r="B24" s="15" t="s">
        <v>3</v>
      </c>
      <c r="C24" s="22" t="s">
        <v>26</v>
      </c>
    </row>
    <row r="25" spans="2:8" x14ac:dyDescent="0.25">
      <c r="B25" s="15" t="s">
        <v>5</v>
      </c>
      <c r="C25" s="22" t="s">
        <v>27</v>
      </c>
    </row>
    <row r="26" spans="2:8" x14ac:dyDescent="0.25">
      <c r="B26" s="15" t="s">
        <v>7</v>
      </c>
      <c r="C26" s="22" t="s">
        <v>28</v>
      </c>
    </row>
    <row r="27" spans="2:8" x14ac:dyDescent="0.25"/>
    <row r="28" spans="2:8" ht="51.75" customHeight="1" x14ac:dyDescent="0.25">
      <c r="B28" s="18" t="s">
        <v>38</v>
      </c>
      <c r="C28" s="9" t="s">
        <v>122</v>
      </c>
    </row>
    <row r="29" spans="2:8" x14ac:dyDescent="0.25"/>
    <row r="30" spans="2:8" x14ac:dyDescent="0.25"/>
    <row r="31" spans="2:8" ht="48" customHeight="1" x14ac:dyDescent="0.25">
      <c r="B31" s="12">
        <v>3</v>
      </c>
      <c r="C31" s="13" t="s">
        <v>10</v>
      </c>
      <c r="E31" s="1">
        <v>4</v>
      </c>
      <c r="F31" s="1">
        <f ca="1">INDIRECT(G31)</f>
        <v>0</v>
      </c>
      <c r="G31" s="1" t="str">
        <f>"'Question "&amp;B31&amp;"'!H6"</f>
        <v>'Question 3'!H6</v>
      </c>
      <c r="H31" s="1" t="b">
        <f ca="1">E31=F31</f>
        <v>0</v>
      </c>
    </row>
    <row r="32" spans="2:8" x14ac:dyDescent="0.25"/>
    <row r="33" spans="2:8" x14ac:dyDescent="0.25">
      <c r="B33" s="15" t="s">
        <v>1</v>
      </c>
      <c r="C33" s="22" t="s">
        <v>29</v>
      </c>
    </row>
    <row r="34" spans="2:8" x14ac:dyDescent="0.25">
      <c r="B34" s="15" t="s">
        <v>3</v>
      </c>
      <c r="C34" s="22" t="s">
        <v>30</v>
      </c>
    </row>
    <row r="35" spans="2:8" x14ac:dyDescent="0.25">
      <c r="B35" s="15" t="s">
        <v>5</v>
      </c>
      <c r="C35" s="22" t="s">
        <v>31</v>
      </c>
    </row>
    <row r="36" spans="2:8" x14ac:dyDescent="0.25">
      <c r="B36" s="15" t="s">
        <v>7</v>
      </c>
      <c r="C36" s="22" t="s">
        <v>32</v>
      </c>
    </row>
    <row r="37" spans="2:8" x14ac:dyDescent="0.25"/>
    <row r="38" spans="2:8" ht="41.25" customHeight="1" x14ac:dyDescent="0.25">
      <c r="B38" s="18" t="s">
        <v>38</v>
      </c>
      <c r="C38" s="9" t="s">
        <v>123</v>
      </c>
    </row>
    <row r="39" spans="2:8" x14ac:dyDescent="0.25"/>
    <row r="40" spans="2:8" x14ac:dyDescent="0.25"/>
    <row r="41" spans="2:8" ht="53.25" customHeight="1" x14ac:dyDescent="0.25">
      <c r="B41" s="12">
        <v>4</v>
      </c>
      <c r="C41" s="13" t="s">
        <v>11</v>
      </c>
      <c r="E41" s="1">
        <v>1</v>
      </c>
      <c r="F41" s="1">
        <f ca="1">INDIRECT(G41)</f>
        <v>0</v>
      </c>
      <c r="G41" s="1" t="str">
        <f>"'Question "&amp;B41&amp;"'!H6"</f>
        <v>'Question 4'!H6</v>
      </c>
      <c r="H41" s="1" t="b">
        <f ca="1">E41=F41</f>
        <v>0</v>
      </c>
    </row>
    <row r="42" spans="2:8" x14ac:dyDescent="0.25"/>
    <row r="43" spans="2:8" x14ac:dyDescent="0.25">
      <c r="B43" s="15" t="s">
        <v>1</v>
      </c>
      <c r="C43" s="22" t="s">
        <v>33</v>
      </c>
    </row>
    <row r="44" spans="2:8" x14ac:dyDescent="0.25">
      <c r="B44" s="15" t="s">
        <v>3</v>
      </c>
      <c r="C44" s="22" t="s">
        <v>34</v>
      </c>
    </row>
    <row r="45" spans="2:8" x14ac:dyDescent="0.25">
      <c r="B45" s="15" t="s">
        <v>5</v>
      </c>
      <c r="C45" s="22" t="s">
        <v>31</v>
      </c>
    </row>
    <row r="46" spans="2:8" x14ac:dyDescent="0.25">
      <c r="B46" s="15" t="s">
        <v>7</v>
      </c>
      <c r="C46" s="22" t="s">
        <v>32</v>
      </c>
    </row>
    <row r="47" spans="2:8" x14ac:dyDescent="0.25"/>
    <row r="48" spans="2:8" ht="39.950000000000003" customHeight="1" x14ac:dyDescent="0.25">
      <c r="B48" s="18" t="s">
        <v>38</v>
      </c>
      <c r="C48" s="9" t="s">
        <v>121</v>
      </c>
    </row>
    <row r="49" spans="2:8" x14ac:dyDescent="0.25"/>
    <row r="50" spans="2:8" x14ac:dyDescent="0.25"/>
    <row r="51" spans="2:8" ht="52.5" customHeight="1" x14ac:dyDescent="0.25">
      <c r="B51" s="12">
        <v>5</v>
      </c>
      <c r="C51" s="13" t="s">
        <v>12</v>
      </c>
      <c r="E51" s="1">
        <v>4</v>
      </c>
      <c r="F51" s="1">
        <f ca="1">INDIRECT(G51)</f>
        <v>0</v>
      </c>
      <c r="G51" s="1" t="str">
        <f>"'Question "&amp;B51&amp;"'!H6"</f>
        <v>'Question 5'!H6</v>
      </c>
      <c r="H51" s="1" t="b">
        <f ca="1">E51=F51</f>
        <v>0</v>
      </c>
    </row>
    <row r="52" spans="2:8" x14ac:dyDescent="0.25"/>
    <row r="53" spans="2:8" x14ac:dyDescent="0.25">
      <c r="B53" s="15" t="s">
        <v>1</v>
      </c>
      <c r="C53" s="22" t="s">
        <v>14</v>
      </c>
    </row>
    <row r="54" spans="2:8" x14ac:dyDescent="0.25">
      <c r="B54" s="15" t="s">
        <v>3</v>
      </c>
      <c r="C54" s="22" t="s">
        <v>15</v>
      </c>
    </row>
    <row r="55" spans="2:8" x14ac:dyDescent="0.25">
      <c r="B55" s="15" t="s">
        <v>5</v>
      </c>
      <c r="C55" s="22" t="s">
        <v>16</v>
      </c>
    </row>
    <row r="56" spans="2:8" x14ac:dyDescent="0.25">
      <c r="B56" s="15" t="s">
        <v>7</v>
      </c>
      <c r="C56" s="22" t="s">
        <v>17</v>
      </c>
    </row>
    <row r="57" spans="2:8" x14ac:dyDescent="0.25"/>
    <row r="58" spans="2:8" ht="39.950000000000003" customHeight="1" x14ac:dyDescent="0.25">
      <c r="B58" s="18" t="s">
        <v>38</v>
      </c>
      <c r="C58" s="9" t="s">
        <v>13</v>
      </c>
    </row>
    <row r="59" spans="2:8" x14ac:dyDescent="0.25"/>
    <row r="60" spans="2:8" x14ac:dyDescent="0.25"/>
    <row r="61" spans="2:8" ht="24" customHeight="1" x14ac:dyDescent="0.25">
      <c r="B61" s="12">
        <v>6</v>
      </c>
      <c r="C61" s="13" t="s">
        <v>18</v>
      </c>
      <c r="E61" s="1">
        <v>3</v>
      </c>
      <c r="F61" s="1">
        <f ca="1">INDIRECT(G61)</f>
        <v>0</v>
      </c>
      <c r="G61" s="1" t="str">
        <f>"'Question "&amp;B61&amp;"'!H6"</f>
        <v>'Question 6'!H6</v>
      </c>
      <c r="H61" s="1" t="b">
        <f ca="1">E61=F61</f>
        <v>0</v>
      </c>
    </row>
    <row r="62" spans="2:8" x14ac:dyDescent="0.25"/>
    <row r="63" spans="2:8" x14ac:dyDescent="0.25">
      <c r="B63" s="15" t="s">
        <v>1</v>
      </c>
      <c r="C63" s="22" t="s">
        <v>19</v>
      </c>
    </row>
    <row r="64" spans="2:8" x14ac:dyDescent="0.25">
      <c r="B64" s="15" t="s">
        <v>3</v>
      </c>
      <c r="C64" s="22" t="s">
        <v>20</v>
      </c>
    </row>
    <row r="65" spans="2:8" x14ac:dyDescent="0.25">
      <c r="B65" s="15" t="s">
        <v>5</v>
      </c>
      <c r="C65" s="22" t="s">
        <v>21</v>
      </c>
    </row>
    <row r="66" spans="2:8" x14ac:dyDescent="0.25">
      <c r="B66" s="15" t="s">
        <v>7</v>
      </c>
      <c r="C66" s="22" t="s">
        <v>22</v>
      </c>
    </row>
    <row r="67" spans="2:8" x14ac:dyDescent="0.25"/>
    <row r="68" spans="2:8" ht="45" customHeight="1" x14ac:dyDescent="0.25">
      <c r="B68" s="18" t="s">
        <v>38</v>
      </c>
      <c r="C68" s="9" t="s">
        <v>124</v>
      </c>
    </row>
    <row r="69" spans="2:8" x14ac:dyDescent="0.25"/>
    <row r="70" spans="2:8" x14ac:dyDescent="0.25"/>
    <row r="71" spans="2:8" ht="30" customHeight="1" x14ac:dyDescent="0.25">
      <c r="B71" s="12">
        <v>7</v>
      </c>
      <c r="C71" s="13" t="s">
        <v>23</v>
      </c>
      <c r="E71" s="1">
        <v>1</v>
      </c>
      <c r="F71" s="1">
        <f ca="1">INDIRECT(G71)</f>
        <v>0</v>
      </c>
      <c r="G71" s="1" t="str">
        <f>"'Question "&amp;B71&amp;"'!H6"</f>
        <v>'Question 7'!H6</v>
      </c>
      <c r="H71" s="1" t="b">
        <f ca="1">E71=F71</f>
        <v>0</v>
      </c>
    </row>
    <row r="72" spans="2:8" x14ac:dyDescent="0.25"/>
    <row r="73" spans="2:8" x14ac:dyDescent="0.25">
      <c r="B73" s="15" t="s">
        <v>1</v>
      </c>
      <c r="C73" s="22" t="s">
        <v>19</v>
      </c>
    </row>
    <row r="74" spans="2:8" x14ac:dyDescent="0.25">
      <c r="B74" s="15" t="s">
        <v>3</v>
      </c>
      <c r="C74" s="22" t="s">
        <v>20</v>
      </c>
    </row>
    <row r="75" spans="2:8" x14ac:dyDescent="0.25">
      <c r="B75" s="15" t="s">
        <v>5</v>
      </c>
      <c r="C75" s="22" t="s">
        <v>21</v>
      </c>
    </row>
    <row r="76" spans="2:8" x14ac:dyDescent="0.25">
      <c r="B76" s="15" t="s">
        <v>7</v>
      </c>
      <c r="C76" s="22" t="s">
        <v>22</v>
      </c>
    </row>
    <row r="77" spans="2:8" x14ac:dyDescent="0.25"/>
    <row r="78" spans="2:8" ht="45" customHeight="1" x14ac:dyDescent="0.25">
      <c r="B78" s="18" t="s">
        <v>38</v>
      </c>
      <c r="C78" s="9" t="s">
        <v>125</v>
      </c>
    </row>
    <row r="79" spans="2:8" x14ac:dyDescent="0.25"/>
    <row r="80" spans="2:8" x14ac:dyDescent="0.25"/>
    <row r="81" spans="2:8" ht="27.75" customHeight="1" x14ac:dyDescent="0.25">
      <c r="B81" s="12">
        <v>8</v>
      </c>
      <c r="C81" s="13" t="s">
        <v>126</v>
      </c>
      <c r="E81" s="1">
        <v>4</v>
      </c>
      <c r="F81" s="1">
        <f ca="1">INDIRECT(G81)</f>
        <v>0</v>
      </c>
      <c r="G81" s="1" t="str">
        <f>"'Question "&amp;B81&amp;"'!H6"</f>
        <v>'Question 8'!H6</v>
      </c>
      <c r="H81" s="1" t="b">
        <f ca="1">E81=F81</f>
        <v>0</v>
      </c>
    </row>
    <row r="82" spans="2:8" x14ac:dyDescent="0.25"/>
    <row r="83" spans="2:8" x14ac:dyDescent="0.25">
      <c r="B83" s="15" t="s">
        <v>1</v>
      </c>
      <c r="C83" s="22" t="s">
        <v>127</v>
      </c>
    </row>
    <row r="84" spans="2:8" x14ac:dyDescent="0.25">
      <c r="B84" s="15" t="s">
        <v>3</v>
      </c>
      <c r="C84" s="22" t="s">
        <v>128</v>
      </c>
    </row>
    <row r="85" spans="2:8" x14ac:dyDescent="0.25">
      <c r="B85" s="15" t="s">
        <v>5</v>
      </c>
      <c r="C85" s="22" t="s">
        <v>129</v>
      </c>
    </row>
    <row r="86" spans="2:8" x14ac:dyDescent="0.25">
      <c r="B86" s="15" t="s">
        <v>7</v>
      </c>
      <c r="C86" s="22" t="s">
        <v>130</v>
      </c>
    </row>
    <row r="87" spans="2:8" x14ac:dyDescent="0.25"/>
    <row r="88" spans="2:8" ht="45" customHeight="1" x14ac:dyDescent="0.25">
      <c r="B88" s="18" t="s">
        <v>38</v>
      </c>
      <c r="C88" s="9" t="s">
        <v>132</v>
      </c>
    </row>
    <row r="89" spans="2:8" x14ac:dyDescent="0.25"/>
    <row r="90" spans="2:8" x14ac:dyDescent="0.25"/>
    <row r="91" spans="2:8" ht="27" customHeight="1" x14ac:dyDescent="0.25">
      <c r="B91" s="12">
        <v>9</v>
      </c>
      <c r="C91" s="13" t="s">
        <v>131</v>
      </c>
      <c r="E91" s="1">
        <v>2</v>
      </c>
      <c r="F91" s="1">
        <f ca="1">INDIRECT(G91)</f>
        <v>0</v>
      </c>
      <c r="G91" s="1" t="str">
        <f>"'Question "&amp;B91&amp;"'!H6"</f>
        <v>'Question 9'!H6</v>
      </c>
      <c r="H91" s="1" t="b">
        <f ca="1">E91=F91</f>
        <v>0</v>
      </c>
    </row>
    <row r="92" spans="2:8" x14ac:dyDescent="0.25"/>
    <row r="93" spans="2:8" x14ac:dyDescent="0.25">
      <c r="B93" s="15" t="s">
        <v>1</v>
      </c>
      <c r="C93" s="22" t="s">
        <v>127</v>
      </c>
    </row>
    <row r="94" spans="2:8" x14ac:dyDescent="0.25">
      <c r="B94" s="15" t="s">
        <v>3</v>
      </c>
      <c r="C94" s="22" t="s">
        <v>128</v>
      </c>
    </row>
    <row r="95" spans="2:8" x14ac:dyDescent="0.25">
      <c r="B95" s="15" t="s">
        <v>5</v>
      </c>
      <c r="C95" s="22" t="s">
        <v>129</v>
      </c>
    </row>
    <row r="96" spans="2:8" x14ac:dyDescent="0.25">
      <c r="B96" s="15" t="s">
        <v>7</v>
      </c>
      <c r="C96" s="22" t="s">
        <v>130</v>
      </c>
    </row>
    <row r="97" spans="2:8" x14ac:dyDescent="0.25"/>
    <row r="98" spans="2:8" ht="45" customHeight="1" x14ac:dyDescent="0.25">
      <c r="B98" s="18" t="s">
        <v>38</v>
      </c>
      <c r="C98" s="9" t="s">
        <v>133</v>
      </c>
    </row>
    <row r="99" spans="2:8" x14ac:dyDescent="0.25"/>
    <row r="100" spans="2:8" x14ac:dyDescent="0.25"/>
    <row r="101" spans="2:8" x14ac:dyDescent="0.25">
      <c r="B101" s="12">
        <v>10</v>
      </c>
      <c r="C101" s="13" t="s">
        <v>134</v>
      </c>
      <c r="E101" s="1">
        <v>1</v>
      </c>
      <c r="F101" s="1">
        <f ca="1">INDIRECT(G101)</f>
        <v>0</v>
      </c>
      <c r="G101" s="1" t="str">
        <f>"'Question "&amp;B101&amp;"'!H6"</f>
        <v>'Question 10'!H6</v>
      </c>
      <c r="H101" s="1" t="b">
        <f ca="1">E101=F101</f>
        <v>0</v>
      </c>
    </row>
    <row r="102" spans="2:8" x14ac:dyDescent="0.25"/>
    <row r="103" spans="2:8" x14ac:dyDescent="0.25">
      <c r="B103" s="15" t="s">
        <v>1</v>
      </c>
      <c r="C103" s="47" t="s">
        <v>136</v>
      </c>
    </row>
    <row r="104" spans="2:8" x14ac:dyDescent="0.25">
      <c r="B104" s="15" t="s">
        <v>3</v>
      </c>
      <c r="C104" s="47" t="s">
        <v>137</v>
      </c>
    </row>
    <row r="105" spans="2:8" x14ac:dyDescent="0.25">
      <c r="B105" s="15" t="s">
        <v>5</v>
      </c>
      <c r="C105" s="47" t="s">
        <v>138</v>
      </c>
    </row>
    <row r="106" spans="2:8" x14ac:dyDescent="0.25">
      <c r="B106" s="15" t="s">
        <v>7</v>
      </c>
      <c r="C106" s="47" t="s">
        <v>139</v>
      </c>
    </row>
    <row r="107" spans="2:8" x14ac:dyDescent="0.25"/>
    <row r="108" spans="2:8" ht="45" customHeight="1" x14ac:dyDescent="0.25">
      <c r="B108" s="18" t="s">
        <v>38</v>
      </c>
      <c r="C108" s="9" t="s">
        <v>135</v>
      </c>
    </row>
    <row r="109" spans="2:8" x14ac:dyDescent="0.25"/>
    <row r="110" spans="2:8" x14ac:dyDescent="0.25">
      <c r="B110" s="10" t="s">
        <v>24</v>
      </c>
    </row>
    <row r="111" spans="2:8" x14ac:dyDescent="0.25"/>
    <row r="112" spans="2:8" x14ac:dyDescent="0.25"/>
    <row r="113" x14ac:dyDescent="0.25"/>
    <row r="114" x14ac:dyDescent="0.25"/>
    <row r="115" x14ac:dyDescent="0.25"/>
    <row r="116" x14ac:dyDescent="0.25"/>
    <row r="117" x14ac:dyDescent="0.25"/>
    <row r="118" x14ac:dyDescent="0.25"/>
    <row r="119" x14ac:dyDescent="0.25"/>
    <row r="120" x14ac:dyDescent="0.25"/>
    <row r="121" x14ac:dyDescent="0.25"/>
    <row r="122" x14ac:dyDescent="0.25"/>
    <row r="123" x14ac:dyDescent="0.25"/>
    <row r="124" x14ac:dyDescent="0.25"/>
    <row r="125" x14ac:dyDescent="0.25"/>
    <row r="126" x14ac:dyDescent="0.25"/>
    <row r="127" x14ac:dyDescent="0.25"/>
    <row r="128" x14ac:dyDescent="0.25"/>
    <row r="129" x14ac:dyDescent="0.25"/>
    <row r="130" x14ac:dyDescent="0.25"/>
    <row r="131" x14ac:dyDescent="0.25"/>
    <row r="132" x14ac:dyDescent="0.25"/>
    <row r="133" x14ac:dyDescent="0.25"/>
    <row r="134" x14ac:dyDescent="0.25"/>
    <row r="135" x14ac:dyDescent="0.25"/>
    <row r="136" x14ac:dyDescent="0.25"/>
    <row r="137" x14ac:dyDescent="0.25"/>
    <row r="138" x14ac:dyDescent="0.25"/>
    <row r="139" x14ac:dyDescent="0.25"/>
    <row r="140" x14ac:dyDescent="0.25"/>
    <row r="141" x14ac:dyDescent="0.25"/>
    <row r="142" x14ac:dyDescent="0.25"/>
    <row r="143" x14ac:dyDescent="0.25"/>
  </sheetData>
  <sheetProtection password="8E1A" sheet="1" objects="1" scenarios="1"/>
  <mergeCells count="1">
    <mergeCell ref="B1:C1"/>
  </mergeCells>
  <conditionalFormatting sqref="B13:C13">
    <cfRule type="expression" dxfId="82" priority="79">
      <formula>IF($E11=1,TRUE,FALSE)</formula>
    </cfRule>
    <cfRule type="expression" dxfId="81" priority="83">
      <formula>IF($F11=1,TRUE,FALSE)</formula>
    </cfRule>
  </conditionalFormatting>
  <conditionalFormatting sqref="B14:C14">
    <cfRule type="expression" dxfId="80" priority="78">
      <formula>IF($E11=2,TRUE,FALSE)</formula>
    </cfRule>
    <cfRule type="expression" dxfId="79" priority="82">
      <formula>IF($F11=2,TRUE,FALSE)</formula>
    </cfRule>
  </conditionalFormatting>
  <conditionalFormatting sqref="B15:C15">
    <cfRule type="expression" dxfId="78" priority="77">
      <formula>IF($E11=3,TRUE,FALSE)</formula>
    </cfRule>
    <cfRule type="expression" dxfId="77" priority="81">
      <formula>IF($F11=3,TRUE,FALSE)</formula>
    </cfRule>
  </conditionalFormatting>
  <conditionalFormatting sqref="B16:C16">
    <cfRule type="expression" dxfId="76" priority="76">
      <formula>IF($E11=4,TRUE,FALSE)</formula>
    </cfRule>
    <cfRule type="expression" dxfId="75" priority="80">
      <formula>IF($F11=4,TRUE,FALSE)</formula>
    </cfRule>
  </conditionalFormatting>
  <conditionalFormatting sqref="B23:C23">
    <cfRule type="expression" dxfId="74" priority="71">
      <formula>IF($E21=1,TRUE,FALSE)</formula>
    </cfRule>
    <cfRule type="expression" dxfId="73" priority="75">
      <formula>IF($F21=1,TRUE,FALSE)</formula>
    </cfRule>
  </conditionalFormatting>
  <conditionalFormatting sqref="B24:C24">
    <cfRule type="expression" dxfId="72" priority="70">
      <formula>IF($E21=2,TRUE,FALSE)</formula>
    </cfRule>
    <cfRule type="expression" dxfId="71" priority="74">
      <formula>IF($F21=2,TRUE,FALSE)</formula>
    </cfRule>
  </conditionalFormatting>
  <conditionalFormatting sqref="B25:C25">
    <cfRule type="expression" dxfId="70" priority="69">
      <formula>IF($E21=3,TRUE,FALSE)</formula>
    </cfRule>
    <cfRule type="expression" dxfId="69" priority="73">
      <formula>IF($F21=3,TRUE,FALSE)</formula>
    </cfRule>
  </conditionalFormatting>
  <conditionalFormatting sqref="B26:C26">
    <cfRule type="expression" dxfId="68" priority="68">
      <formula>IF($E21=4,TRUE,FALSE)</formula>
    </cfRule>
    <cfRule type="expression" dxfId="67" priority="72">
      <formula>IF($F21=4,TRUE,FALSE)</formula>
    </cfRule>
  </conditionalFormatting>
  <conditionalFormatting sqref="B33:C33">
    <cfRule type="expression" dxfId="66" priority="63">
      <formula>IF($E31=1,TRUE,FALSE)</formula>
    </cfRule>
    <cfRule type="expression" dxfId="65" priority="67">
      <formula>IF($F31=1,TRUE,FALSE)</formula>
    </cfRule>
  </conditionalFormatting>
  <conditionalFormatting sqref="B34:C34">
    <cfRule type="expression" dxfId="64" priority="62">
      <formula>IF($E31=2,TRUE,FALSE)</formula>
    </cfRule>
    <cfRule type="expression" dxfId="63" priority="66">
      <formula>IF($F31=2,TRUE,FALSE)</formula>
    </cfRule>
  </conditionalFormatting>
  <conditionalFormatting sqref="B35:C35">
    <cfRule type="expression" dxfId="62" priority="61">
      <formula>IF($E31=3,TRUE,FALSE)</formula>
    </cfRule>
    <cfRule type="expression" dxfId="61" priority="65">
      <formula>IF($F31=3,TRUE,FALSE)</formula>
    </cfRule>
  </conditionalFormatting>
  <conditionalFormatting sqref="B36:C36">
    <cfRule type="expression" dxfId="60" priority="60">
      <formula>IF($E31=4,TRUE,FALSE)</formula>
    </cfRule>
    <cfRule type="expression" dxfId="59" priority="64">
      <formula>IF($F31=4,TRUE,FALSE)</formula>
    </cfRule>
  </conditionalFormatting>
  <conditionalFormatting sqref="B43:C43">
    <cfRule type="expression" dxfId="58" priority="55">
      <formula>IF($E41=1,TRUE,FALSE)</formula>
    </cfRule>
    <cfRule type="expression" dxfId="57" priority="59">
      <formula>IF($F41=1,TRUE,FALSE)</formula>
    </cfRule>
  </conditionalFormatting>
  <conditionalFormatting sqref="B44:C44">
    <cfRule type="expression" dxfId="56" priority="54">
      <formula>IF($E41=2,TRUE,FALSE)</formula>
    </cfRule>
    <cfRule type="expression" dxfId="55" priority="58">
      <formula>IF($F41=2,TRUE,FALSE)</formula>
    </cfRule>
  </conditionalFormatting>
  <conditionalFormatting sqref="B45:C45">
    <cfRule type="expression" dxfId="54" priority="53">
      <formula>IF($E41=3,TRUE,FALSE)</formula>
    </cfRule>
    <cfRule type="expression" dxfId="53" priority="57">
      <formula>IF($F41=3,TRUE,FALSE)</formula>
    </cfRule>
  </conditionalFormatting>
  <conditionalFormatting sqref="B46:C46">
    <cfRule type="expression" dxfId="52" priority="52">
      <formula>IF($E41=4,TRUE,FALSE)</formula>
    </cfRule>
    <cfRule type="expression" dxfId="51" priority="56">
      <formula>IF($F41=4,TRUE,FALSE)</formula>
    </cfRule>
  </conditionalFormatting>
  <conditionalFormatting sqref="B53:C53">
    <cfRule type="expression" dxfId="50" priority="47">
      <formula>IF($E51=1,TRUE,FALSE)</formula>
    </cfRule>
    <cfRule type="expression" dxfId="49" priority="51">
      <formula>IF($F51=1,TRUE,FALSE)</formula>
    </cfRule>
  </conditionalFormatting>
  <conditionalFormatting sqref="B54:C54">
    <cfRule type="expression" dxfId="48" priority="46">
      <formula>IF($E51=2,TRUE,FALSE)</formula>
    </cfRule>
    <cfRule type="expression" dxfId="47" priority="50">
      <formula>IF($F51=2,TRUE,FALSE)</formula>
    </cfRule>
  </conditionalFormatting>
  <conditionalFormatting sqref="B55:C55">
    <cfRule type="expression" dxfId="46" priority="45">
      <formula>IF($E51=3,TRUE,FALSE)</formula>
    </cfRule>
    <cfRule type="expression" dxfId="45" priority="49">
      <formula>IF($F51=3,TRUE,FALSE)</formula>
    </cfRule>
  </conditionalFormatting>
  <conditionalFormatting sqref="B56:C56">
    <cfRule type="expression" dxfId="44" priority="44">
      <formula>IF($E51=4,TRUE,FALSE)</formula>
    </cfRule>
    <cfRule type="expression" dxfId="43" priority="48">
      <formula>IF($F51=4,TRUE,FALSE)</formula>
    </cfRule>
  </conditionalFormatting>
  <conditionalFormatting sqref="B63:C63">
    <cfRule type="expression" dxfId="42" priority="39">
      <formula>IF($E61=1,TRUE,FALSE)</formula>
    </cfRule>
    <cfRule type="expression" dxfId="41" priority="43">
      <formula>IF($F61=1,TRUE,FALSE)</formula>
    </cfRule>
  </conditionalFormatting>
  <conditionalFormatting sqref="B64:C64">
    <cfRule type="expression" dxfId="40" priority="38">
      <formula>IF($E61=2,TRUE,FALSE)</formula>
    </cfRule>
    <cfRule type="expression" dxfId="39" priority="42">
      <formula>IF($F61=2,TRUE,FALSE)</formula>
    </cfRule>
  </conditionalFormatting>
  <conditionalFormatting sqref="B65:C65">
    <cfRule type="expression" dxfId="38" priority="37">
      <formula>IF($E61=3,TRUE,FALSE)</formula>
    </cfRule>
    <cfRule type="expression" dxfId="37" priority="41">
      <formula>IF($F61=3,TRUE,FALSE)</formula>
    </cfRule>
  </conditionalFormatting>
  <conditionalFormatting sqref="B66:C66">
    <cfRule type="expression" dxfId="36" priority="36">
      <formula>IF($E61=4,TRUE,FALSE)</formula>
    </cfRule>
    <cfRule type="expression" dxfId="35" priority="40">
      <formula>IF($F61=4,TRUE,FALSE)</formula>
    </cfRule>
  </conditionalFormatting>
  <conditionalFormatting sqref="B73:C73">
    <cfRule type="expression" dxfId="34" priority="31">
      <formula>IF($E71=1,TRUE,FALSE)</formula>
    </cfRule>
    <cfRule type="expression" dxfId="33" priority="35">
      <formula>IF($F71=1,TRUE,FALSE)</formula>
    </cfRule>
  </conditionalFormatting>
  <conditionalFormatting sqref="B74:C74">
    <cfRule type="expression" dxfId="32" priority="30">
      <formula>IF($E71=2,TRUE,FALSE)</formula>
    </cfRule>
    <cfRule type="expression" dxfId="31" priority="34">
      <formula>IF($F71=2,TRUE,FALSE)</formula>
    </cfRule>
  </conditionalFormatting>
  <conditionalFormatting sqref="B75:C75">
    <cfRule type="expression" dxfId="30" priority="29">
      <formula>IF($E71=3,TRUE,FALSE)</formula>
    </cfRule>
    <cfRule type="expression" dxfId="29" priority="33">
      <formula>IF($F71=3,TRUE,FALSE)</formula>
    </cfRule>
  </conditionalFormatting>
  <conditionalFormatting sqref="B76:C76">
    <cfRule type="expression" dxfId="28" priority="28">
      <formula>IF($E71=4,TRUE,FALSE)</formula>
    </cfRule>
    <cfRule type="expression" dxfId="27" priority="32">
      <formula>IF($F71=4,TRUE,FALSE)</formula>
    </cfRule>
  </conditionalFormatting>
  <conditionalFormatting sqref="B83:C83">
    <cfRule type="expression" dxfId="26" priority="23">
      <formula>IF($E81=1,TRUE,FALSE)</formula>
    </cfRule>
    <cfRule type="expression" dxfId="25" priority="27">
      <formula>IF($F81=1,TRUE,FALSE)</formula>
    </cfRule>
  </conditionalFormatting>
  <conditionalFormatting sqref="B84:C84">
    <cfRule type="expression" dxfId="24" priority="22">
      <formula>IF($E81=2,TRUE,FALSE)</formula>
    </cfRule>
    <cfRule type="expression" dxfId="23" priority="26">
      <formula>IF($F81=2,TRUE,FALSE)</formula>
    </cfRule>
  </conditionalFormatting>
  <conditionalFormatting sqref="B85:C85">
    <cfRule type="expression" dxfId="22" priority="21">
      <formula>IF($E81=3,TRUE,FALSE)</formula>
    </cfRule>
    <cfRule type="expression" dxfId="21" priority="25">
      <formula>IF($F81=3,TRUE,FALSE)</formula>
    </cfRule>
  </conditionalFormatting>
  <conditionalFormatting sqref="B86:C86">
    <cfRule type="expression" dxfId="20" priority="20">
      <formula>IF($E81=4,TRUE,FALSE)</formula>
    </cfRule>
    <cfRule type="expression" dxfId="19" priority="24">
      <formula>IF($F81=4,TRUE,FALSE)</formula>
    </cfRule>
  </conditionalFormatting>
  <conditionalFormatting sqref="B93:C93">
    <cfRule type="expression" dxfId="18" priority="15">
      <formula>IF($E91=1,TRUE,FALSE)</formula>
    </cfRule>
    <cfRule type="expression" dxfId="17" priority="19">
      <formula>IF($F91=1,TRUE,FALSE)</formula>
    </cfRule>
  </conditionalFormatting>
  <conditionalFormatting sqref="B94:C94">
    <cfRule type="expression" dxfId="16" priority="14">
      <formula>IF($E91=2,TRUE,FALSE)</formula>
    </cfRule>
    <cfRule type="expression" dxfId="15" priority="18">
      <formula>IF($F91=2,TRUE,FALSE)</formula>
    </cfRule>
  </conditionalFormatting>
  <conditionalFormatting sqref="B95:C95">
    <cfRule type="expression" dxfId="14" priority="13">
      <formula>IF($E91=3,TRUE,FALSE)</formula>
    </cfRule>
    <cfRule type="expression" dxfId="13" priority="17">
      <formula>IF($F91=3,TRUE,FALSE)</formula>
    </cfRule>
  </conditionalFormatting>
  <conditionalFormatting sqref="B96:C96">
    <cfRule type="expression" dxfId="12" priority="12">
      <formula>IF($E91=4,TRUE,FALSE)</formula>
    </cfRule>
    <cfRule type="expression" dxfId="11" priority="16">
      <formula>IF($F91=4,TRUE,FALSE)</formula>
    </cfRule>
  </conditionalFormatting>
  <conditionalFormatting sqref="B103:C103">
    <cfRule type="expression" dxfId="10" priority="7">
      <formula>IF($E101=1,TRUE,FALSE)</formula>
    </cfRule>
    <cfRule type="expression" dxfId="9" priority="11">
      <formula>IF($F101=1,TRUE,FALSE)</formula>
    </cfRule>
  </conditionalFormatting>
  <conditionalFormatting sqref="B104:C104">
    <cfRule type="expression" dxfId="8" priority="6">
      <formula>IF($E101=2,TRUE,FALSE)</formula>
    </cfRule>
    <cfRule type="expression" dxfId="7" priority="10">
      <formula>IF($F101=2,TRUE,FALSE)</formula>
    </cfRule>
  </conditionalFormatting>
  <conditionalFormatting sqref="B105:C105">
    <cfRule type="expression" dxfId="6" priority="5">
      <formula>IF($E101=3,TRUE,FALSE)</formula>
    </cfRule>
    <cfRule type="expression" dxfId="5" priority="9">
      <formula>IF($F101=3,TRUE,FALSE)</formula>
    </cfRule>
  </conditionalFormatting>
  <conditionalFormatting sqref="B106:C106">
    <cfRule type="expression" dxfId="4" priority="4">
      <formula>IF($E101=4,TRUE,FALSE)</formula>
    </cfRule>
    <cfRule type="expression" dxfId="3" priority="8">
      <formula>IF($F101=4,TRUE,FALSE)</formula>
    </cfRule>
  </conditionalFormatting>
  <conditionalFormatting sqref="C7">
    <cfRule type="cellIs" dxfId="2" priority="1" operator="between">
      <formula>0</formula>
      <formula>70</formula>
    </cfRule>
    <cfRule type="cellIs" dxfId="1" priority="2" operator="between">
      <formula>71</formula>
      <formula>79</formula>
    </cfRule>
    <cfRule type="cellIs" dxfId="0" priority="3" operator="greaterThan">
      <formula>80</formula>
    </cfRule>
  </conditionalFormatting>
  <pageMargins left="0.7" right="0.7" top="0.75" bottom="0.75" header="0.3" footer="0.3"/>
  <drawing r:id="rId1"/>
  <legacyDrawing r:id="rId2"/>
  <controls>
    <mc:AlternateContent xmlns:mc="http://schemas.openxmlformats.org/markup-compatibility/2006">
      <mc:Choice Requires="x14">
        <control shapeId="225281" r:id="rId3" name="CommandButton1">
          <controlPr defaultSize="0" autoLine="0" autoPict="0" r:id="rId4">
            <anchor moveWithCells="1">
              <from>
                <xdr:col>2</xdr:col>
                <xdr:colOff>7477125</xdr:colOff>
                <xdr:row>6</xdr:row>
                <xdr:rowOff>9525</xdr:rowOff>
              </from>
              <to>
                <xdr:col>2</xdr:col>
                <xdr:colOff>9439275</xdr:colOff>
                <xdr:row>6</xdr:row>
                <xdr:rowOff>409575</xdr:rowOff>
              </to>
            </anchor>
          </controlPr>
        </control>
      </mc:Choice>
      <mc:Fallback>
        <control shapeId="225281" r:id="rId3"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59072-2DB9-44B3-9183-5B978C788513}">
  <sheetPr codeName="Sheet2"/>
  <dimension ref="A1:S16"/>
  <sheetViews>
    <sheetView showGridLines="0" workbookViewId="0">
      <selection activeCell="F3" sqref="F3"/>
    </sheetView>
  </sheetViews>
  <sheetFormatPr defaultRowHeight="15" x14ac:dyDescent="0.25"/>
  <cols>
    <col min="18" max="18" width="9.140625" style="1"/>
    <col min="19" max="19" width="22.5703125" customWidth="1"/>
  </cols>
  <sheetData>
    <row r="1" spans="1:19" ht="35.25" customHeight="1" thickBot="1" x14ac:dyDescent="0.3">
      <c r="B1" s="77" t="s">
        <v>47</v>
      </c>
      <c r="C1" s="78"/>
      <c r="D1" s="78"/>
      <c r="E1" s="78"/>
      <c r="F1" s="78"/>
      <c r="G1" s="78"/>
      <c r="H1" s="78"/>
      <c r="I1" s="78"/>
      <c r="J1" s="78"/>
      <c r="K1" s="78"/>
      <c r="L1" s="78"/>
      <c r="M1" s="78"/>
      <c r="N1" s="78"/>
      <c r="O1" s="78"/>
      <c r="P1" s="79"/>
    </row>
    <row r="2" spans="1:19" ht="29.25" customHeight="1" x14ac:dyDescent="0.25">
      <c r="R2" s="3">
        <f>colorfunction(R2,$B$3:$P$16,FALSE)</f>
        <v>10</v>
      </c>
      <c r="S2" s="6" t="s">
        <v>36</v>
      </c>
    </row>
    <row r="3" spans="1:19" ht="18.75" x14ac:dyDescent="0.3">
      <c r="A3" s="2"/>
      <c r="B3" s="7">
        <v>1</v>
      </c>
      <c r="C3" s="7">
        <f>B3+1</f>
        <v>2</v>
      </c>
      <c r="D3" s="7">
        <f>C3+1</f>
        <v>3</v>
      </c>
      <c r="E3" s="7">
        <f t="shared" ref="E3:K3" si="0">D3+1</f>
        <v>4</v>
      </c>
      <c r="F3" s="7">
        <f t="shared" si="0"/>
        <v>5</v>
      </c>
      <c r="G3" s="7">
        <f>F3+1</f>
        <v>6</v>
      </c>
      <c r="H3" s="7">
        <f>G3+1</f>
        <v>7</v>
      </c>
      <c r="I3" s="7">
        <f t="shared" si="0"/>
        <v>8</v>
      </c>
      <c r="J3" s="7">
        <f t="shared" si="0"/>
        <v>9</v>
      </c>
      <c r="K3" s="7">
        <f t="shared" si="0"/>
        <v>10</v>
      </c>
      <c r="L3" s="72"/>
      <c r="M3" s="72"/>
      <c r="N3" s="72"/>
      <c r="O3" s="72"/>
      <c r="P3" s="72"/>
      <c r="R3" s="4">
        <f>colorfunction(R3,$B$3:$P$16,FALSE)</f>
        <v>0</v>
      </c>
      <c r="S3" s="6" t="s">
        <v>35</v>
      </c>
    </row>
    <row r="4" spans="1:19" x14ac:dyDescent="0.25">
      <c r="B4" s="72"/>
      <c r="C4" s="72"/>
      <c r="D4" s="72"/>
      <c r="E4" s="72"/>
      <c r="F4" s="72"/>
      <c r="G4" s="72"/>
      <c r="H4" s="72"/>
      <c r="I4" s="72"/>
      <c r="J4" s="72"/>
      <c r="K4" s="72"/>
      <c r="L4" s="72"/>
      <c r="M4" s="72"/>
      <c r="N4" s="72"/>
      <c r="O4" s="72"/>
      <c r="P4" s="72"/>
      <c r="R4" s="5">
        <f>colorfunction(R4,$B$3:$P$16,FALSE)</f>
        <v>0</v>
      </c>
      <c r="S4" s="6" t="s">
        <v>37</v>
      </c>
    </row>
    <row r="5" spans="1:19" x14ac:dyDescent="0.25">
      <c r="B5" s="72"/>
      <c r="C5" s="72"/>
      <c r="D5" s="72"/>
      <c r="E5" s="72"/>
      <c r="F5" s="72"/>
      <c r="G5" s="72"/>
      <c r="H5" s="72"/>
      <c r="I5" s="72"/>
      <c r="J5" s="72"/>
      <c r="K5" s="72"/>
      <c r="L5" s="72"/>
      <c r="M5" s="72"/>
      <c r="N5" s="72"/>
      <c r="O5" s="72"/>
      <c r="P5" s="72"/>
    </row>
    <row r="6" spans="1:19" x14ac:dyDescent="0.25">
      <c r="B6" s="72"/>
      <c r="C6" s="72"/>
      <c r="D6" s="72"/>
      <c r="E6" s="72"/>
      <c r="F6" s="72"/>
      <c r="G6" s="72"/>
      <c r="H6" s="72"/>
      <c r="I6" s="72"/>
      <c r="J6" s="72"/>
      <c r="K6" s="72"/>
      <c r="L6" s="72"/>
      <c r="M6" s="72"/>
      <c r="N6" s="72"/>
      <c r="O6" s="72"/>
      <c r="P6" s="72"/>
    </row>
    <row r="7" spans="1:19" x14ac:dyDescent="0.25">
      <c r="B7" s="72"/>
      <c r="C7" s="72"/>
      <c r="D7" s="72"/>
      <c r="E7" s="72"/>
      <c r="F7" s="72"/>
      <c r="G7" s="72"/>
      <c r="H7" s="72"/>
      <c r="I7" s="72"/>
      <c r="J7" s="72"/>
      <c r="K7" s="72"/>
      <c r="L7" s="72"/>
      <c r="M7" s="72"/>
      <c r="N7" s="72"/>
      <c r="O7" s="72"/>
      <c r="P7" s="72"/>
    </row>
    <row r="8" spans="1:19" x14ac:dyDescent="0.25">
      <c r="B8" s="72"/>
      <c r="C8" s="72"/>
      <c r="D8" s="72"/>
      <c r="E8" s="72"/>
      <c r="F8" s="72"/>
      <c r="G8" s="72"/>
      <c r="H8" s="72"/>
      <c r="I8" s="72"/>
      <c r="J8" s="72"/>
      <c r="K8" s="72"/>
      <c r="L8" s="72"/>
      <c r="M8" s="72"/>
      <c r="N8" s="72"/>
      <c r="O8" s="72"/>
      <c r="P8" s="72"/>
    </row>
    <row r="9" spans="1:19" x14ac:dyDescent="0.25">
      <c r="B9" s="72"/>
      <c r="C9" s="72"/>
      <c r="D9" s="72"/>
      <c r="E9" s="72"/>
      <c r="F9" s="72"/>
      <c r="G9" s="72"/>
      <c r="H9" s="72"/>
      <c r="I9" s="72"/>
      <c r="J9" s="72"/>
      <c r="K9" s="72"/>
      <c r="L9" s="72"/>
      <c r="M9" s="72"/>
      <c r="N9" s="72"/>
      <c r="O9" s="72"/>
      <c r="P9" s="72"/>
    </row>
    <row r="10" spans="1:19" x14ac:dyDescent="0.25">
      <c r="B10" s="72"/>
      <c r="C10" s="72"/>
      <c r="D10" s="72"/>
      <c r="E10" s="72"/>
      <c r="F10" s="72"/>
      <c r="G10" s="72"/>
      <c r="H10" s="72"/>
      <c r="I10" s="72"/>
      <c r="J10" s="72"/>
      <c r="K10" s="72"/>
      <c r="L10" s="72"/>
      <c r="M10" s="72"/>
      <c r="N10" s="72"/>
      <c r="O10" s="72"/>
      <c r="P10" s="72"/>
    </row>
    <row r="11" spans="1:19" x14ac:dyDescent="0.25">
      <c r="B11" s="72"/>
      <c r="C11" s="72"/>
      <c r="D11" s="72"/>
      <c r="E11" s="72"/>
      <c r="F11" s="72"/>
      <c r="G11" s="72"/>
      <c r="H11" s="72"/>
      <c r="I11" s="72"/>
      <c r="J11" s="72"/>
      <c r="K11" s="72"/>
      <c r="L11" s="72"/>
      <c r="M11" s="72"/>
      <c r="N11" s="72"/>
      <c r="O11" s="72"/>
      <c r="P11" s="72"/>
    </row>
    <row r="12" spans="1:19" x14ac:dyDescent="0.25">
      <c r="B12" s="72"/>
      <c r="C12" s="72"/>
      <c r="D12" s="72"/>
      <c r="E12" s="72"/>
      <c r="F12" s="72"/>
      <c r="G12" s="72"/>
      <c r="H12" s="72"/>
      <c r="I12" s="72"/>
      <c r="J12" s="72"/>
      <c r="K12" s="72"/>
      <c r="L12" s="72"/>
      <c r="M12" s="72"/>
      <c r="N12" s="72"/>
      <c r="O12" s="72"/>
      <c r="P12" s="72"/>
    </row>
    <row r="13" spans="1:19" x14ac:dyDescent="0.25">
      <c r="B13" s="72"/>
      <c r="C13" s="72"/>
      <c r="D13" s="72"/>
      <c r="E13" s="72"/>
      <c r="F13" s="72"/>
      <c r="G13" s="72"/>
      <c r="H13" s="72"/>
      <c r="I13" s="72"/>
      <c r="J13" s="72"/>
      <c r="K13" s="72"/>
      <c r="L13" s="72"/>
      <c r="M13" s="72"/>
      <c r="N13" s="72"/>
      <c r="O13" s="72"/>
      <c r="P13" s="72"/>
    </row>
    <row r="14" spans="1:19" x14ac:dyDescent="0.25">
      <c r="B14" s="72"/>
      <c r="C14" s="72"/>
      <c r="D14" s="72"/>
      <c r="E14" s="72"/>
      <c r="F14" s="72"/>
      <c r="G14" s="72"/>
      <c r="H14" s="72"/>
      <c r="I14" s="72"/>
      <c r="J14" s="72"/>
      <c r="K14" s="72"/>
      <c r="L14" s="72"/>
      <c r="M14" s="72"/>
      <c r="N14" s="72"/>
      <c r="O14" s="72"/>
      <c r="P14" s="72"/>
    </row>
    <row r="15" spans="1:19" x14ac:dyDescent="0.25">
      <c r="B15" s="72"/>
      <c r="C15" s="72"/>
      <c r="D15" s="72"/>
      <c r="E15" s="72"/>
      <c r="F15" s="72"/>
      <c r="G15" s="72"/>
      <c r="H15" s="72"/>
      <c r="I15" s="72"/>
      <c r="J15" s="72"/>
      <c r="K15" s="72"/>
      <c r="L15" s="72"/>
      <c r="M15" s="72"/>
      <c r="N15" s="72"/>
      <c r="O15" s="72"/>
      <c r="P15" s="72"/>
    </row>
    <row r="16" spans="1:19" x14ac:dyDescent="0.25">
      <c r="B16" s="72"/>
      <c r="C16" s="72"/>
      <c r="D16" s="72"/>
      <c r="E16" s="72"/>
      <c r="F16" s="72"/>
      <c r="G16" s="72"/>
      <c r="H16" s="72"/>
      <c r="I16" s="72"/>
      <c r="J16" s="72"/>
      <c r="K16" s="72"/>
      <c r="L16" s="72"/>
      <c r="M16" s="72"/>
      <c r="N16" s="72"/>
      <c r="O16" s="72"/>
      <c r="P16" s="72"/>
    </row>
  </sheetData>
  <sheetProtection selectLockedCells="1"/>
  <mergeCells count="1">
    <mergeCell ref="B1:P1"/>
  </mergeCells>
  <hyperlinks>
    <hyperlink ref="B3" location="'Question 1'!A1" display="'Question 1'!A1" xr:uid="{8F316990-1E78-4AA7-A029-AC588D05EC89}"/>
    <hyperlink ref="C3" location="'Question 2'!A1" display="'Question 2'!A1" xr:uid="{B6439CC7-DC64-4626-9D8F-5BC661400CF9}"/>
    <hyperlink ref="D3" location="'Question 3'!A1" display="'Question 3'!A1" xr:uid="{61199B15-2F9F-4604-B78F-7968474E9D77}"/>
    <hyperlink ref="E3" location="'Question 4'!A1" display="'Question 4'!A1" xr:uid="{8127E77D-D19C-4E80-A445-BC28EF5E4083}"/>
    <hyperlink ref="F3" location="'Question 5'!A1" display="'Question 5'!A1" xr:uid="{077FA791-C0FA-4D79-A39F-AC3503AE62C7}"/>
    <hyperlink ref="G3" location="'Question 6'!A1" display="'Question 6'!A1" xr:uid="{E110A1BD-054E-4345-A44B-772D885657BC}"/>
    <hyperlink ref="H3" location="'Question 7'!A1" display="'Question 7'!A1" xr:uid="{D1D09A88-B93C-4D59-B2DA-2277A912325E}"/>
    <hyperlink ref="I3" location="'Question 8'!A1" display="'Question 8'!A1" xr:uid="{5A7C8638-AADD-44AB-A7AC-01E47213B37C}"/>
    <hyperlink ref="J3" location="'Question 9'!A1" display="'Question 9'!A1" xr:uid="{C4D859F2-20FA-42AC-B7B0-F497F168A726}"/>
    <hyperlink ref="K3" location="'Question 10'!A1" display="'Question 10'!A1" xr:uid="{9A622B86-6730-49F7-AC0B-C59B85DDCD70}"/>
  </hyperlinks>
  <pageMargins left="0.7" right="0.7" top="0.75" bottom="0.75" header="0.3" footer="0.3"/>
  <ignoredErrors>
    <ignoredError sqref="B3:K3"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94AE3-6D4A-46CD-B856-734C33FB039F}">
  <sheetPr codeName="Sheet21"/>
  <dimension ref="A1:XFC16"/>
  <sheetViews>
    <sheetView showGridLines="0" topLeftCell="C1" workbookViewId="0">
      <selection activeCell="F6" sqref="F6"/>
    </sheetView>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1</v>
      </c>
      <c r="F6" s="48"/>
      <c r="I6" t="b">
        <v>0</v>
      </c>
      <c r="J6" t="str">
        <f>IF(H6=0,"Unattempted",IF(I6=TRUE,"Marked for Review","Attempted"))</f>
        <v>Unattempted</v>
      </c>
    </row>
    <row r="7" spans="5:10" ht="15.75" customHeight="1" x14ac:dyDescent="0.25">
      <c r="E7" s="10"/>
      <c r="F7" s="11"/>
    </row>
    <row r="8" spans="5:10" ht="35.1" customHeight="1" x14ac:dyDescent="0.25">
      <c r="E8" s="14" t="s">
        <v>1</v>
      </c>
      <c r="F8" s="49"/>
    </row>
    <row r="9" spans="5:10" ht="35.1" customHeight="1" x14ac:dyDescent="0.25">
      <c r="E9" s="14" t="s">
        <v>3</v>
      </c>
      <c r="F9" s="49"/>
    </row>
    <row r="10" spans="5:10" ht="35.1" customHeight="1" x14ac:dyDescent="0.25">
      <c r="E10" s="14" t="s">
        <v>5</v>
      </c>
      <c r="F10" s="49"/>
    </row>
    <row r="11" spans="5:10" ht="35.1" customHeight="1" x14ac:dyDescent="0.25">
      <c r="E11" s="14" t="s">
        <v>7</v>
      </c>
      <c r="F11" s="49"/>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9" r:id="rId4" name="Check Box 5">
              <controlPr defaultSize="0" autoFill="0" autoLine="0" autoPict="0">
                <anchor moveWithCells="1">
                  <from>
                    <xdr:col>5</xdr:col>
                    <xdr:colOff>5838825</xdr:colOff>
                    <xdr:row>11</xdr:row>
                    <xdr:rowOff>161925</xdr:rowOff>
                  </from>
                  <to>
                    <xdr:col>5</xdr:col>
                    <xdr:colOff>7486650</xdr:colOff>
                    <xdr:row>13</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AC9B5-AE00-441A-8D1D-027F3AE21284}">
  <sheetPr codeName="Sheet22"/>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1</v>
      </c>
      <c r="F6" s="48" t="s">
        <v>0</v>
      </c>
      <c r="I6" t="b">
        <v>0</v>
      </c>
      <c r="J6" t="str">
        <f>IF(H6=0,"Unattempted",IF(I6=TRUE,"Marked for Review","Attempted"))</f>
        <v>Unattempted</v>
      </c>
    </row>
    <row r="7" spans="5:10" ht="15.75" customHeight="1" x14ac:dyDescent="0.25">
      <c r="E7" s="10"/>
      <c r="F7" s="11"/>
    </row>
    <row r="8" spans="5:10" ht="35.1" customHeight="1" x14ac:dyDescent="0.25">
      <c r="E8" s="14" t="s">
        <v>1</v>
      </c>
      <c r="F8" s="49" t="s">
        <v>2</v>
      </c>
    </row>
    <row r="9" spans="5:10" ht="35.1" customHeight="1" x14ac:dyDescent="0.25">
      <c r="E9" s="14" t="s">
        <v>3</v>
      </c>
      <c r="F9" s="49" t="s">
        <v>4</v>
      </c>
    </row>
    <row r="10" spans="5:10" ht="35.1" customHeight="1" x14ac:dyDescent="0.25">
      <c r="E10" s="14" t="s">
        <v>5</v>
      </c>
      <c r="F10" s="49" t="s">
        <v>6</v>
      </c>
    </row>
    <row r="11" spans="5:10" ht="35.1" customHeight="1" x14ac:dyDescent="0.25">
      <c r="E11" s="14" t="s">
        <v>7</v>
      </c>
      <c r="F11" s="49" t="s">
        <v>8</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0403"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0403" r:id="rId4" name="Progress_Stat_1"/>
      </mc:Fallback>
    </mc:AlternateContent>
    <mc:AlternateContent xmlns:mc="http://schemas.openxmlformats.org/markup-compatibility/2006">
      <mc:Choice Requires="x14">
        <control shapeId="230402"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0402" r:id="rId6" name="Back_1"/>
      </mc:Fallback>
    </mc:AlternateContent>
    <mc:AlternateContent xmlns:mc="http://schemas.openxmlformats.org/markup-compatibility/2006">
      <mc:Choice Requires="x14">
        <control shapeId="230401"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0401" r:id="rId8" name="Next_1"/>
      </mc:Fallback>
    </mc:AlternateContent>
    <mc:AlternateContent xmlns:mc="http://schemas.openxmlformats.org/markup-compatibility/2006">
      <mc:Choice Requires="x14">
        <control shapeId="230404"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0405"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0406"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0407"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0408"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19A3D8-BF98-468E-B6C6-A8A5678068EF}">
  <sheetPr codeName="Sheet23"/>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2</v>
      </c>
      <c r="F6" s="48" t="s">
        <v>9</v>
      </c>
      <c r="I6" t="b">
        <v>0</v>
      </c>
      <c r="J6" t="str">
        <f>IF(H6=0,"Unattempted",IF(I6=TRUE,"Marked for Review","Attempted"))</f>
        <v>Unattempted</v>
      </c>
    </row>
    <row r="7" spans="5:10" ht="15.75" customHeight="1" x14ac:dyDescent="0.25">
      <c r="E7" s="10"/>
      <c r="F7" s="11"/>
    </row>
    <row r="8" spans="5:10" ht="35.1" customHeight="1" x14ac:dyDescent="0.25">
      <c r="E8" s="14" t="s">
        <v>1</v>
      </c>
      <c r="F8" s="49" t="s">
        <v>25</v>
      </c>
    </row>
    <row r="9" spans="5:10" ht="35.1" customHeight="1" x14ac:dyDescent="0.25">
      <c r="E9" s="14" t="s">
        <v>3</v>
      </c>
      <c r="F9" s="49" t="s">
        <v>26</v>
      </c>
    </row>
    <row r="10" spans="5:10" ht="35.1" customHeight="1" x14ac:dyDescent="0.25">
      <c r="E10" s="14" t="s">
        <v>5</v>
      </c>
      <c r="F10" s="49" t="s">
        <v>27</v>
      </c>
    </row>
    <row r="11" spans="5:10" ht="35.1" customHeight="1" x14ac:dyDescent="0.25">
      <c r="E11" s="14" t="s">
        <v>7</v>
      </c>
      <c r="F11" s="49" t="s">
        <v>28</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1427"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1427" r:id="rId4" name="Progress_Stat_1"/>
      </mc:Fallback>
    </mc:AlternateContent>
    <mc:AlternateContent xmlns:mc="http://schemas.openxmlformats.org/markup-compatibility/2006">
      <mc:Choice Requires="x14">
        <control shapeId="231426"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1426" r:id="rId6" name="Back_1"/>
      </mc:Fallback>
    </mc:AlternateContent>
    <mc:AlternateContent xmlns:mc="http://schemas.openxmlformats.org/markup-compatibility/2006">
      <mc:Choice Requires="x14">
        <control shapeId="231425"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1425" r:id="rId8" name="Next_1"/>
      </mc:Fallback>
    </mc:AlternateContent>
    <mc:AlternateContent xmlns:mc="http://schemas.openxmlformats.org/markup-compatibility/2006">
      <mc:Choice Requires="x14">
        <control shapeId="231428"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1429"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1430"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1431"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1432"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61BE88-3E13-4206-8A9E-75E575422E2D}">
  <sheetPr codeName="Sheet24"/>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3</v>
      </c>
      <c r="F6" s="48" t="s">
        <v>10</v>
      </c>
      <c r="I6" t="b">
        <v>0</v>
      </c>
      <c r="J6" t="str">
        <f>IF(H6=0,"Unattempted",IF(I6=TRUE,"Marked for Review","Attempted"))</f>
        <v>Unattempted</v>
      </c>
    </row>
    <row r="7" spans="5:10" ht="15.75" customHeight="1" x14ac:dyDescent="0.25">
      <c r="E7" s="10"/>
      <c r="F7" s="11"/>
    </row>
    <row r="8" spans="5:10" ht="35.1" customHeight="1" x14ac:dyDescent="0.25">
      <c r="E8" s="14" t="s">
        <v>1</v>
      </c>
      <c r="F8" s="49" t="s">
        <v>29</v>
      </c>
    </row>
    <row r="9" spans="5:10" ht="35.1" customHeight="1" x14ac:dyDescent="0.25">
      <c r="E9" s="14" t="s">
        <v>3</v>
      </c>
      <c r="F9" s="49" t="s">
        <v>30</v>
      </c>
    </row>
    <row r="10" spans="5:10" ht="35.1" customHeight="1" x14ac:dyDescent="0.25">
      <c r="E10" s="14" t="s">
        <v>5</v>
      </c>
      <c r="F10" s="49" t="s">
        <v>31</v>
      </c>
    </row>
    <row r="11" spans="5:10" ht="35.1" customHeight="1" x14ac:dyDescent="0.25">
      <c r="E11" s="14" t="s">
        <v>7</v>
      </c>
      <c r="F11" s="49" t="s">
        <v>32</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2451"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2451" r:id="rId4" name="Progress_Stat_1"/>
      </mc:Fallback>
    </mc:AlternateContent>
    <mc:AlternateContent xmlns:mc="http://schemas.openxmlformats.org/markup-compatibility/2006">
      <mc:Choice Requires="x14">
        <control shapeId="232450"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2450" r:id="rId6" name="Back_1"/>
      </mc:Fallback>
    </mc:AlternateContent>
    <mc:AlternateContent xmlns:mc="http://schemas.openxmlformats.org/markup-compatibility/2006">
      <mc:Choice Requires="x14">
        <control shapeId="232449"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2449" r:id="rId8" name="Next_1"/>
      </mc:Fallback>
    </mc:AlternateContent>
    <mc:AlternateContent xmlns:mc="http://schemas.openxmlformats.org/markup-compatibility/2006">
      <mc:Choice Requires="x14">
        <control shapeId="232452"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2453"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2454"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2455"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2456"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1ECEB-4D98-4F3A-8C54-D61712C4EFE6}">
  <sheetPr codeName="Sheet25"/>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4</v>
      </c>
      <c r="F6" s="48" t="s">
        <v>11</v>
      </c>
      <c r="I6" t="b">
        <v>0</v>
      </c>
      <c r="J6" t="str">
        <f>IF(H6=0,"Unattempted",IF(I6=TRUE,"Marked for Review","Attempted"))</f>
        <v>Unattempted</v>
      </c>
    </row>
    <row r="7" spans="5:10" ht="15.75" customHeight="1" x14ac:dyDescent="0.25">
      <c r="E7" s="10"/>
      <c r="F7" s="11"/>
    </row>
    <row r="8" spans="5:10" ht="35.1" customHeight="1" x14ac:dyDescent="0.25">
      <c r="E8" s="14" t="s">
        <v>1</v>
      </c>
      <c r="F8" s="49" t="s">
        <v>33</v>
      </c>
    </row>
    <row r="9" spans="5:10" ht="35.1" customHeight="1" x14ac:dyDescent="0.25">
      <c r="E9" s="14" t="s">
        <v>3</v>
      </c>
      <c r="F9" s="49" t="s">
        <v>34</v>
      </c>
    </row>
    <row r="10" spans="5:10" ht="35.1" customHeight="1" x14ac:dyDescent="0.25">
      <c r="E10" s="14" t="s">
        <v>5</v>
      </c>
      <c r="F10" s="49" t="s">
        <v>31</v>
      </c>
    </row>
    <row r="11" spans="5:10" ht="35.1" customHeight="1" x14ac:dyDescent="0.25">
      <c r="E11" s="14" t="s">
        <v>7</v>
      </c>
      <c r="F11" s="49" t="s">
        <v>32</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3475"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3475" r:id="rId4" name="Progress_Stat_1"/>
      </mc:Fallback>
    </mc:AlternateContent>
    <mc:AlternateContent xmlns:mc="http://schemas.openxmlformats.org/markup-compatibility/2006">
      <mc:Choice Requires="x14">
        <control shapeId="233474"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3474" r:id="rId6" name="Back_1"/>
      </mc:Fallback>
    </mc:AlternateContent>
    <mc:AlternateContent xmlns:mc="http://schemas.openxmlformats.org/markup-compatibility/2006">
      <mc:Choice Requires="x14">
        <control shapeId="233473"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3473" r:id="rId8" name="Next_1"/>
      </mc:Fallback>
    </mc:AlternateContent>
    <mc:AlternateContent xmlns:mc="http://schemas.openxmlformats.org/markup-compatibility/2006">
      <mc:Choice Requires="x14">
        <control shapeId="233476"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3477"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3478"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3479"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3480"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1E012-DE5F-4BCC-BAD9-5A1A91F893E0}">
  <sheetPr codeName="Sheet26"/>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5</v>
      </c>
      <c r="F6" s="48" t="s">
        <v>12</v>
      </c>
      <c r="I6" t="b">
        <v>0</v>
      </c>
      <c r="J6" t="str">
        <f>IF(H6=0,"Unattempted",IF(I6=TRUE,"Marked for Review","Attempted"))</f>
        <v>Unattempted</v>
      </c>
    </row>
    <row r="7" spans="5:10" ht="15.75" customHeight="1" x14ac:dyDescent="0.25">
      <c r="E7" s="10"/>
      <c r="F7" s="11"/>
    </row>
    <row r="8" spans="5:10" ht="35.1" customHeight="1" x14ac:dyDescent="0.25">
      <c r="E8" s="14" t="s">
        <v>1</v>
      </c>
      <c r="F8" s="49" t="s">
        <v>14</v>
      </c>
    </row>
    <row r="9" spans="5:10" ht="35.1" customHeight="1" x14ac:dyDescent="0.25">
      <c r="E9" s="14" t="s">
        <v>3</v>
      </c>
      <c r="F9" s="49" t="s">
        <v>15</v>
      </c>
    </row>
    <row r="10" spans="5:10" ht="35.1" customHeight="1" x14ac:dyDescent="0.25">
      <c r="E10" s="14" t="s">
        <v>5</v>
      </c>
      <c r="F10" s="49" t="s">
        <v>16</v>
      </c>
    </row>
    <row r="11" spans="5:10" ht="35.1" customHeight="1" x14ac:dyDescent="0.25">
      <c r="E11" s="14" t="s">
        <v>7</v>
      </c>
      <c r="F11" s="49" t="s">
        <v>17</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4499"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4499" r:id="rId4" name="Progress_Stat_1"/>
      </mc:Fallback>
    </mc:AlternateContent>
    <mc:AlternateContent xmlns:mc="http://schemas.openxmlformats.org/markup-compatibility/2006">
      <mc:Choice Requires="x14">
        <control shapeId="234498"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4498" r:id="rId6" name="Back_1"/>
      </mc:Fallback>
    </mc:AlternateContent>
    <mc:AlternateContent xmlns:mc="http://schemas.openxmlformats.org/markup-compatibility/2006">
      <mc:Choice Requires="x14">
        <control shapeId="234497"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4497" r:id="rId8" name="Next_1"/>
      </mc:Fallback>
    </mc:AlternateContent>
    <mc:AlternateContent xmlns:mc="http://schemas.openxmlformats.org/markup-compatibility/2006">
      <mc:Choice Requires="x14">
        <control shapeId="234500"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4501"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4502"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4503"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4504"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4726C-E869-471F-AD30-0BA778AD88E4}">
  <sheetPr codeName="Sheet27"/>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6</v>
      </c>
      <c r="F6" s="48" t="s">
        <v>18</v>
      </c>
      <c r="I6" t="b">
        <v>0</v>
      </c>
      <c r="J6" t="str">
        <f>IF(H6=0,"Unattempted",IF(I6=TRUE,"Marked for Review","Attempted"))</f>
        <v>Unattempted</v>
      </c>
    </row>
    <row r="7" spans="5:10" ht="15.75" customHeight="1" x14ac:dyDescent="0.25">
      <c r="E7" s="10"/>
      <c r="F7" s="11"/>
    </row>
    <row r="8" spans="5:10" ht="35.1" customHeight="1" x14ac:dyDescent="0.25">
      <c r="E8" s="14" t="s">
        <v>1</v>
      </c>
      <c r="F8" s="49" t="s">
        <v>19</v>
      </c>
    </row>
    <row r="9" spans="5:10" ht="35.1" customHeight="1" x14ac:dyDescent="0.25">
      <c r="E9" s="14" t="s">
        <v>3</v>
      </c>
      <c r="F9" s="49" t="s">
        <v>20</v>
      </c>
    </row>
    <row r="10" spans="5:10" ht="35.1" customHeight="1" x14ac:dyDescent="0.25">
      <c r="E10" s="14" t="s">
        <v>5</v>
      </c>
      <c r="F10" s="49" t="s">
        <v>21</v>
      </c>
    </row>
    <row r="11" spans="5:10" ht="35.1" customHeight="1" x14ac:dyDescent="0.25">
      <c r="E11" s="14" t="s">
        <v>7</v>
      </c>
      <c r="F11" s="49" t="s">
        <v>22</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5523"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5523" r:id="rId4" name="Progress_Stat_1"/>
      </mc:Fallback>
    </mc:AlternateContent>
    <mc:AlternateContent xmlns:mc="http://schemas.openxmlformats.org/markup-compatibility/2006">
      <mc:Choice Requires="x14">
        <control shapeId="235522"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5522" r:id="rId6" name="Back_1"/>
      </mc:Fallback>
    </mc:AlternateContent>
    <mc:AlternateContent xmlns:mc="http://schemas.openxmlformats.org/markup-compatibility/2006">
      <mc:Choice Requires="x14">
        <control shapeId="235521"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5521" r:id="rId8" name="Next_1"/>
      </mc:Fallback>
    </mc:AlternateContent>
    <mc:AlternateContent xmlns:mc="http://schemas.openxmlformats.org/markup-compatibility/2006">
      <mc:Choice Requires="x14">
        <control shapeId="235524"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5525"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5526"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5527"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5528"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9026D-317B-4DCB-B22D-327D879C0B7E}">
  <sheetPr codeName="Sheet28"/>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7</v>
      </c>
      <c r="F6" s="48" t="s">
        <v>23</v>
      </c>
      <c r="I6" t="b">
        <v>0</v>
      </c>
      <c r="J6" t="str">
        <f>IF(H6=0,"Unattempted",IF(I6=TRUE,"Marked for Review","Attempted"))</f>
        <v>Unattempted</v>
      </c>
    </row>
    <row r="7" spans="5:10" ht="15.75" customHeight="1" x14ac:dyDescent="0.25">
      <c r="E7" s="10"/>
      <c r="F7" s="11"/>
    </row>
    <row r="8" spans="5:10" ht="35.1" customHeight="1" x14ac:dyDescent="0.25">
      <c r="E8" s="14" t="s">
        <v>1</v>
      </c>
      <c r="F8" s="49" t="s">
        <v>19</v>
      </c>
    </row>
    <row r="9" spans="5:10" ht="35.1" customHeight="1" x14ac:dyDescent="0.25">
      <c r="E9" s="14" t="s">
        <v>3</v>
      </c>
      <c r="F9" s="49" t="s">
        <v>20</v>
      </c>
    </row>
    <row r="10" spans="5:10" ht="35.1" customHeight="1" x14ac:dyDescent="0.25">
      <c r="E10" s="14" t="s">
        <v>5</v>
      </c>
      <c r="F10" s="49" t="s">
        <v>21</v>
      </c>
    </row>
    <row r="11" spans="5:10" ht="35.1" customHeight="1" x14ac:dyDescent="0.25">
      <c r="E11" s="14" t="s">
        <v>7</v>
      </c>
      <c r="F11" s="49" t="s">
        <v>22</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6547"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6547" r:id="rId4" name="Progress_Stat_1"/>
      </mc:Fallback>
    </mc:AlternateContent>
    <mc:AlternateContent xmlns:mc="http://schemas.openxmlformats.org/markup-compatibility/2006">
      <mc:Choice Requires="x14">
        <control shapeId="236546"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6546" r:id="rId6" name="Back_1"/>
      </mc:Fallback>
    </mc:AlternateContent>
    <mc:AlternateContent xmlns:mc="http://schemas.openxmlformats.org/markup-compatibility/2006">
      <mc:Choice Requires="x14">
        <control shapeId="236545"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6545" r:id="rId8" name="Next_1"/>
      </mc:Fallback>
    </mc:AlternateContent>
    <mc:AlternateContent xmlns:mc="http://schemas.openxmlformats.org/markup-compatibility/2006">
      <mc:Choice Requires="x14">
        <control shapeId="236548"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6549"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6550"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6551"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6552"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7D6F7-1DE3-4DD8-9A92-DB284FC13040}">
  <sheetPr codeName="Sheet29"/>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8</v>
      </c>
      <c r="F6" s="48" t="s">
        <v>126</v>
      </c>
      <c r="I6" t="b">
        <v>0</v>
      </c>
      <c r="J6" t="str">
        <f>IF(H6=0,"Unattempted",IF(I6=TRUE,"Marked for Review","Attempted"))</f>
        <v>Unattempted</v>
      </c>
    </row>
    <row r="7" spans="5:10" ht="15.75" customHeight="1" x14ac:dyDescent="0.25">
      <c r="E7" s="10"/>
      <c r="F7" s="11"/>
    </row>
    <row r="8" spans="5:10" ht="35.1" customHeight="1" x14ac:dyDescent="0.25">
      <c r="E8" s="14" t="s">
        <v>1</v>
      </c>
      <c r="F8" s="49" t="s">
        <v>127</v>
      </c>
    </row>
    <row r="9" spans="5:10" ht="35.1" customHeight="1" x14ac:dyDescent="0.25">
      <c r="E9" s="14" t="s">
        <v>3</v>
      </c>
      <c r="F9" s="49" t="s">
        <v>128</v>
      </c>
    </row>
    <row r="10" spans="5:10" ht="35.1" customHeight="1" x14ac:dyDescent="0.25">
      <c r="E10" s="14" t="s">
        <v>5</v>
      </c>
      <c r="F10" s="49" t="s">
        <v>129</v>
      </c>
    </row>
    <row r="11" spans="5:10" ht="35.1" customHeight="1" x14ac:dyDescent="0.25">
      <c r="E11" s="14" t="s">
        <v>7</v>
      </c>
      <c r="F11" s="49" t="s">
        <v>130</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7571"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7571" r:id="rId4" name="Progress_Stat_1"/>
      </mc:Fallback>
    </mc:AlternateContent>
    <mc:AlternateContent xmlns:mc="http://schemas.openxmlformats.org/markup-compatibility/2006">
      <mc:Choice Requires="x14">
        <control shapeId="237570"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7570" r:id="rId6" name="Back_1"/>
      </mc:Fallback>
    </mc:AlternateContent>
    <mc:AlternateContent xmlns:mc="http://schemas.openxmlformats.org/markup-compatibility/2006">
      <mc:Choice Requires="x14">
        <control shapeId="237569"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7569" r:id="rId8" name="Next_1"/>
      </mc:Fallback>
    </mc:AlternateContent>
    <mc:AlternateContent xmlns:mc="http://schemas.openxmlformats.org/markup-compatibility/2006">
      <mc:Choice Requires="x14">
        <control shapeId="237572"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7573"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7574"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7575"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7576"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25B4DA-74B7-43DD-AE5A-470FC9F6E021}">
  <sheetPr codeName="Sheet30"/>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9</v>
      </c>
      <c r="F6" s="48" t="s">
        <v>131</v>
      </c>
      <c r="I6" t="b">
        <v>0</v>
      </c>
      <c r="J6" t="str">
        <f>IF(H6=0,"Unattempted",IF(I6=TRUE,"Marked for Review","Attempted"))</f>
        <v>Unattempted</v>
      </c>
    </row>
    <row r="7" spans="5:10" ht="15.75" customHeight="1" x14ac:dyDescent="0.25">
      <c r="E7" s="10"/>
      <c r="F7" s="11"/>
    </row>
    <row r="8" spans="5:10" ht="35.1" customHeight="1" x14ac:dyDescent="0.25">
      <c r="E8" s="14" t="s">
        <v>1</v>
      </c>
      <c r="F8" s="49" t="s">
        <v>127</v>
      </c>
    </row>
    <row r="9" spans="5:10" ht="35.1" customHeight="1" x14ac:dyDescent="0.25">
      <c r="E9" s="14" t="s">
        <v>3</v>
      </c>
      <c r="F9" s="49" t="s">
        <v>128</v>
      </c>
    </row>
    <row r="10" spans="5:10" ht="35.1" customHeight="1" x14ac:dyDescent="0.25">
      <c r="E10" s="14" t="s">
        <v>5</v>
      </c>
      <c r="F10" s="49" t="s">
        <v>129</v>
      </c>
    </row>
    <row r="11" spans="5:10" ht="35.1" customHeight="1" x14ac:dyDescent="0.25">
      <c r="E11" s="14" t="s">
        <v>7</v>
      </c>
      <c r="F11" s="49" t="s">
        <v>130</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8595"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8595" r:id="rId4" name="Progress_Stat_1"/>
      </mc:Fallback>
    </mc:AlternateContent>
    <mc:AlternateContent xmlns:mc="http://schemas.openxmlformats.org/markup-compatibility/2006">
      <mc:Choice Requires="x14">
        <control shapeId="238594"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8594" r:id="rId6" name="Back_1"/>
      </mc:Fallback>
    </mc:AlternateContent>
    <mc:AlternateContent xmlns:mc="http://schemas.openxmlformats.org/markup-compatibility/2006">
      <mc:Choice Requires="x14">
        <control shapeId="238593"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8593" r:id="rId8" name="Next_1"/>
      </mc:Fallback>
    </mc:AlternateContent>
    <mc:AlternateContent xmlns:mc="http://schemas.openxmlformats.org/markup-compatibility/2006">
      <mc:Choice Requires="x14">
        <control shapeId="238596"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8597"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8598"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8599"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8600"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F740E-BD1A-4985-B10C-4F2E9E3DFCFD}">
  <sheetPr codeName="Sheet31"/>
  <dimension ref="A1:XFC16"/>
  <sheetViews>
    <sheetView showGridLines="0" topLeftCell="C1" workbookViewId="0"/>
  </sheetViews>
  <sheetFormatPr defaultColWidth="0" defaultRowHeight="15" zeroHeight="1" x14ac:dyDescent="0.25"/>
  <cols>
    <col min="1" max="2" width="9.140625" hidden="1" customWidth="1"/>
    <col min="3" max="3" width="2.28515625" customWidth="1"/>
    <col min="4" max="4" width="2.85546875" customWidth="1"/>
    <col min="5" max="5" width="7.28515625" customWidth="1"/>
    <col min="6" max="6" width="160.7109375" customWidth="1"/>
    <col min="7" max="7" width="23.42578125" customWidth="1"/>
    <col min="8" max="8" width="39.5703125" customWidth="1"/>
    <col min="9" max="9" width="11.5703125" hidden="1" customWidth="1"/>
    <col min="10" max="10" width="24.42578125" hidden="1" customWidth="1"/>
    <col min="11" max="16383" width="9.140625" hidden="1"/>
    <col min="16384" max="16384" width="5.85546875" hidden="1"/>
  </cols>
  <sheetData>
    <row r="1" spans="5:10" ht="39" customHeight="1" thickBot="1" x14ac:dyDescent="0.3">
      <c r="E1" s="73" t="s">
        <v>46</v>
      </c>
      <c r="F1" s="74"/>
    </row>
    <row r="2" spans="5:10" ht="8.25" customHeight="1" x14ac:dyDescent="0.25"/>
    <row r="3" spans="5:10" hidden="1" x14ac:dyDescent="0.25"/>
    <row r="4" spans="5:10" hidden="1" x14ac:dyDescent="0.25"/>
    <row r="5" spans="5:10" hidden="1" x14ac:dyDescent="0.25"/>
    <row r="6" spans="5:10" ht="60" customHeight="1" x14ac:dyDescent="0.25">
      <c r="E6" s="12">
        <v>10</v>
      </c>
      <c r="F6" s="48" t="s">
        <v>134</v>
      </c>
      <c r="I6" t="b">
        <v>0</v>
      </c>
      <c r="J6" t="str">
        <f>IF(H6=0,"Unattempted",IF(I6=TRUE,"Marked for Review","Attempted"))</f>
        <v>Unattempted</v>
      </c>
    </row>
    <row r="7" spans="5:10" ht="15.75" customHeight="1" x14ac:dyDescent="0.25">
      <c r="E7" s="10"/>
      <c r="F7" s="11"/>
    </row>
    <row r="8" spans="5:10" ht="35.1" customHeight="1" x14ac:dyDescent="0.25">
      <c r="E8" s="14" t="s">
        <v>1</v>
      </c>
      <c r="F8" s="49" t="s">
        <v>136</v>
      </c>
    </row>
    <row r="9" spans="5:10" ht="35.1" customHeight="1" x14ac:dyDescent="0.25">
      <c r="E9" s="14" t="s">
        <v>3</v>
      </c>
      <c r="F9" s="49" t="s">
        <v>137</v>
      </c>
    </row>
    <row r="10" spans="5:10" ht="35.1" customHeight="1" x14ac:dyDescent="0.25">
      <c r="E10" s="14" t="s">
        <v>5</v>
      </c>
      <c r="F10" s="49" t="s">
        <v>138</v>
      </c>
    </row>
    <row r="11" spans="5:10" ht="35.1" customHeight="1" x14ac:dyDescent="0.25">
      <c r="E11" s="14" t="s">
        <v>7</v>
      </c>
      <c r="F11" s="49" t="s">
        <v>139</v>
      </c>
    </row>
    <row r="12" spans="5:10" x14ac:dyDescent="0.25">
      <c r="E12" s="1"/>
    </row>
    <row r="13" spans="5:10" x14ac:dyDescent="0.25">
      <c r="E13" s="1"/>
    </row>
    <row r="14" spans="5:10" x14ac:dyDescent="0.25">
      <c r="E14" s="1"/>
    </row>
    <row r="15" spans="5:10" x14ac:dyDescent="0.25">
      <c r="E15" s="1"/>
    </row>
    <row r="16" spans="5:10" ht="85.5" customHeight="1" x14ac:dyDescent="0.25"/>
  </sheetData>
  <mergeCells count="1">
    <mergeCell ref="E1:F1"/>
  </mergeCells>
  <pageMargins left="0.7" right="0.7" top="0.75" bottom="0.75" header="0.3" footer="0.3"/>
  <pageSetup orientation="portrait" r:id="rId1"/>
  <drawing r:id="rId2"/>
  <legacyDrawing r:id="rId3"/>
  <controls>
    <mc:AlternateContent xmlns:mc="http://schemas.openxmlformats.org/markup-compatibility/2006">
      <mc:Choice Requires="x14">
        <control shapeId="239619" r:id="rId4" name="Progress_Stat_1">
          <controlPr defaultSize="0" autoLine="0" r:id="rId5">
            <anchor moveWithCells="1">
              <from>
                <xdr:col>5</xdr:col>
                <xdr:colOff>2981325</xdr:colOff>
                <xdr:row>12</xdr:row>
                <xdr:rowOff>47625</xdr:rowOff>
              </from>
              <to>
                <xdr:col>5</xdr:col>
                <xdr:colOff>4886325</xdr:colOff>
                <xdr:row>14</xdr:row>
                <xdr:rowOff>171450</xdr:rowOff>
              </to>
            </anchor>
          </controlPr>
        </control>
      </mc:Choice>
      <mc:Fallback>
        <control shapeId="239619" r:id="rId4" name="Progress_Stat_1"/>
      </mc:Fallback>
    </mc:AlternateContent>
    <mc:AlternateContent xmlns:mc="http://schemas.openxmlformats.org/markup-compatibility/2006">
      <mc:Choice Requires="x14">
        <control shapeId="239618" r:id="rId6" name="Back_1">
          <controlPr defaultSize="0" autoLine="0" r:id="rId7">
            <anchor moveWithCells="1">
              <from>
                <xdr:col>5</xdr:col>
                <xdr:colOff>438150</xdr:colOff>
                <xdr:row>12</xdr:row>
                <xdr:rowOff>47625</xdr:rowOff>
              </from>
              <to>
                <xdr:col>5</xdr:col>
                <xdr:colOff>2343150</xdr:colOff>
                <xdr:row>14</xdr:row>
                <xdr:rowOff>171450</xdr:rowOff>
              </to>
            </anchor>
          </controlPr>
        </control>
      </mc:Choice>
      <mc:Fallback>
        <control shapeId="239618" r:id="rId6" name="Back_1"/>
      </mc:Fallback>
    </mc:AlternateContent>
    <mc:AlternateContent xmlns:mc="http://schemas.openxmlformats.org/markup-compatibility/2006">
      <mc:Choice Requires="x14">
        <control shapeId="239617" r:id="rId8" name="Next_1">
          <controlPr defaultSize="0" autoLine="0" r:id="rId9">
            <anchor moveWithCells="1">
              <from>
                <xdr:col>5</xdr:col>
                <xdr:colOff>6791325</xdr:colOff>
                <xdr:row>12</xdr:row>
                <xdr:rowOff>47625</xdr:rowOff>
              </from>
              <to>
                <xdr:col>5</xdr:col>
                <xdr:colOff>8696325</xdr:colOff>
                <xdr:row>14</xdr:row>
                <xdr:rowOff>171450</xdr:rowOff>
              </to>
            </anchor>
          </controlPr>
        </control>
      </mc:Choice>
      <mc:Fallback>
        <control shapeId="239617" r:id="rId8" name="Next_1"/>
      </mc:Fallback>
    </mc:AlternateContent>
    <mc:AlternateContent xmlns:mc="http://schemas.openxmlformats.org/markup-compatibility/2006">
      <mc:Choice Requires="x14">
        <control shapeId="239620" r:id="rId10" name="Option Button 4">
          <controlPr defaultSize="0" autoFill="0" autoLine="0" autoPict="0">
            <anchor moveWithCells="1">
              <from>
                <xdr:col>4</xdr:col>
                <xdr:colOff>9525</xdr:colOff>
                <xdr:row>6</xdr:row>
                <xdr:rowOff>161925</xdr:rowOff>
              </from>
              <to>
                <xdr:col>6</xdr:col>
                <xdr:colOff>361950</xdr:colOff>
                <xdr:row>7</xdr:row>
                <xdr:rowOff>342900</xdr:rowOff>
              </to>
            </anchor>
          </controlPr>
        </control>
      </mc:Choice>
    </mc:AlternateContent>
    <mc:AlternateContent xmlns:mc="http://schemas.openxmlformats.org/markup-compatibility/2006">
      <mc:Choice Requires="x14">
        <control shapeId="239621" r:id="rId11" name="Option Button 5">
          <controlPr defaultSize="0" autoFill="0" autoLine="0" autoPict="0">
            <anchor moveWithCells="1">
              <from>
                <xdr:col>4</xdr:col>
                <xdr:colOff>9525</xdr:colOff>
                <xdr:row>7</xdr:row>
                <xdr:rowOff>400050</xdr:rowOff>
              </from>
              <to>
                <xdr:col>6</xdr:col>
                <xdr:colOff>361950</xdr:colOff>
                <xdr:row>8</xdr:row>
                <xdr:rowOff>342900</xdr:rowOff>
              </to>
            </anchor>
          </controlPr>
        </control>
      </mc:Choice>
    </mc:AlternateContent>
    <mc:AlternateContent xmlns:mc="http://schemas.openxmlformats.org/markup-compatibility/2006">
      <mc:Choice Requires="x14">
        <control shapeId="239622" r:id="rId12" name="Option Button 6">
          <controlPr defaultSize="0" autoFill="0" autoLine="0" autoPict="0">
            <anchor moveWithCells="1">
              <from>
                <xdr:col>4</xdr:col>
                <xdr:colOff>9525</xdr:colOff>
                <xdr:row>8</xdr:row>
                <xdr:rowOff>409575</xdr:rowOff>
              </from>
              <to>
                <xdr:col>6</xdr:col>
                <xdr:colOff>361950</xdr:colOff>
                <xdr:row>9</xdr:row>
                <xdr:rowOff>352425</xdr:rowOff>
              </to>
            </anchor>
          </controlPr>
        </control>
      </mc:Choice>
    </mc:AlternateContent>
    <mc:AlternateContent xmlns:mc="http://schemas.openxmlformats.org/markup-compatibility/2006">
      <mc:Choice Requires="x14">
        <control shapeId="239623" r:id="rId13" name="Option Button 7">
          <controlPr defaultSize="0" autoFill="0" autoLine="0" autoPict="0">
            <anchor moveWithCells="1">
              <from>
                <xdr:col>4</xdr:col>
                <xdr:colOff>9525</xdr:colOff>
                <xdr:row>9</xdr:row>
                <xdr:rowOff>419100</xdr:rowOff>
              </from>
              <to>
                <xdr:col>6</xdr:col>
                <xdr:colOff>361950</xdr:colOff>
                <xdr:row>10</xdr:row>
                <xdr:rowOff>361950</xdr:rowOff>
              </to>
            </anchor>
          </controlPr>
        </control>
      </mc:Choice>
    </mc:AlternateContent>
    <mc:AlternateContent xmlns:mc="http://schemas.openxmlformats.org/markup-compatibility/2006">
      <mc:Choice Requires="x14">
        <control shapeId="239624" r:id="rId14" name="Check Box 8">
          <controlPr defaultSize="0" autoFill="0" autoLine="0" autoPict="0">
            <anchor moveWithCells="1">
              <from>
                <xdr:col>5</xdr:col>
                <xdr:colOff>5267325</xdr:colOff>
                <xdr:row>12</xdr:row>
                <xdr:rowOff>47625</xdr:rowOff>
              </from>
              <to>
                <xdr:col>5</xdr:col>
                <xdr:colOff>6534150</xdr:colOff>
                <xdr:row>13</xdr:row>
                <xdr:rowOff>171450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Home</vt:lpstr>
      <vt:lpstr>Definition</vt:lpstr>
      <vt:lpstr>EVM_Calculator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Jayant Kumar Kodwani (The Seattle Wunderman Network)</dc:creator>
  <cp:lastModifiedBy>Jayant Kumar Kodwani (The Seattle Wunderman Network)</cp:lastModifiedBy>
  <dcterms:created xsi:type="dcterms:W3CDTF">2018-04-09T12:50:42Z</dcterms:created>
  <dcterms:modified xsi:type="dcterms:W3CDTF">2018-04-23T11:01:31Z</dcterms:modified>
</cp:coreProperties>
</file>